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lin\Documents\Spill\VM-konk\"/>
    </mc:Choice>
  </mc:AlternateContent>
  <xr:revisionPtr revIDLastSave="0" documentId="13_ncr:1_{FD3DB66C-785A-4B75-942E-55E5D9A14F49}" xr6:coauthVersionLast="47" xr6:coauthVersionMax="47" xr10:uidLastSave="{00000000-0000-0000-0000-000000000000}"/>
  <bookViews>
    <workbookView xWindow="-108" yWindow="-108" windowWidth="23256" windowHeight="12456" activeTab="2" xr2:uid="{E8AE97E4-6608-4AF7-A972-B11E82B68E07}"/>
  </bookViews>
  <sheets>
    <sheet name="Gruppespill" sheetId="1" r:id="rId1"/>
    <sheet name="Utslagsrunder" sheetId="3" r:id="rId2"/>
    <sheet name="Krydderspørsmål" sheetId="2" r:id="rId3"/>
    <sheet name="Sammenlagt og tabe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4" i="4" l="1"/>
  <c r="AC3" i="4"/>
  <c r="DI39" i="3"/>
  <c r="DI37" i="3"/>
  <c r="DI35" i="3"/>
  <c r="DI34" i="3"/>
  <c r="DI32" i="3"/>
  <c r="DI31" i="3"/>
  <c r="DI30" i="3"/>
  <c r="DI29" i="3"/>
  <c r="DI27" i="3"/>
  <c r="DI26" i="3"/>
  <c r="DI25" i="3"/>
  <c r="DI24" i="3"/>
  <c r="DI23" i="3"/>
  <c r="DI22" i="3"/>
  <c r="DI21" i="3"/>
  <c r="DI20" i="3"/>
  <c r="DI18" i="3"/>
  <c r="DI17" i="3"/>
  <c r="DI16" i="3"/>
  <c r="DI15" i="3"/>
  <c r="DI14" i="3"/>
  <c r="DI13" i="3"/>
  <c r="DI12" i="3"/>
  <c r="DI11" i="3"/>
  <c r="DI10" i="3"/>
  <c r="DI9" i="3"/>
  <c r="DI8" i="3"/>
  <c r="DI7" i="3"/>
  <c r="DI6" i="3"/>
  <c r="DI5" i="3"/>
  <c r="DI4" i="3"/>
  <c r="DI3" i="3"/>
  <c r="DF40" i="3" s="1"/>
  <c r="DI85" i="1"/>
  <c r="DI84" i="1"/>
  <c r="DI83" i="1"/>
  <c r="DI82" i="1"/>
  <c r="DI81" i="1"/>
  <c r="DI80" i="1"/>
  <c r="DI78" i="1"/>
  <c r="DI77" i="1"/>
  <c r="DI76" i="1"/>
  <c r="DI75" i="1"/>
  <c r="DI74" i="1"/>
  <c r="DI73" i="1"/>
  <c r="DI71" i="1"/>
  <c r="DI70" i="1"/>
  <c r="DI69" i="1"/>
  <c r="DI68" i="1"/>
  <c r="DI67" i="1"/>
  <c r="DI66" i="1"/>
  <c r="DI64" i="1"/>
  <c r="DI63" i="1"/>
  <c r="DI62" i="1"/>
  <c r="DI61" i="1"/>
  <c r="DI60" i="1"/>
  <c r="DI59" i="1"/>
  <c r="DI57" i="1"/>
  <c r="DI56" i="1"/>
  <c r="DI55" i="1"/>
  <c r="DI54" i="1"/>
  <c r="DI53" i="1"/>
  <c r="DI52" i="1"/>
  <c r="DI50" i="1"/>
  <c r="DI49" i="1"/>
  <c r="DI48" i="1"/>
  <c r="DI47" i="1"/>
  <c r="DI46" i="1"/>
  <c r="DI45" i="1"/>
  <c r="DI43" i="1"/>
  <c r="DI42" i="1"/>
  <c r="DI41" i="1"/>
  <c r="DI40" i="1"/>
  <c r="DI39" i="1"/>
  <c r="DI38" i="1"/>
  <c r="DI36" i="1"/>
  <c r="DI35" i="1"/>
  <c r="DI34" i="1"/>
  <c r="DI33" i="1"/>
  <c r="DI32" i="1"/>
  <c r="DI31" i="1"/>
  <c r="DI29" i="1"/>
  <c r="DI28" i="1"/>
  <c r="DI27" i="1"/>
  <c r="DI26" i="1"/>
  <c r="DI25" i="1"/>
  <c r="DI24" i="1"/>
  <c r="DI22" i="1"/>
  <c r="DI21" i="1"/>
  <c r="DI20" i="1"/>
  <c r="DI19" i="1"/>
  <c r="DI18" i="1"/>
  <c r="DI17" i="1"/>
  <c r="DI15" i="1"/>
  <c r="DI14" i="1"/>
  <c r="DI13" i="1"/>
  <c r="DI12" i="1"/>
  <c r="DI11" i="1"/>
  <c r="DI10" i="1"/>
  <c r="DI8" i="1"/>
  <c r="DI7" i="1"/>
  <c r="DI6" i="1"/>
  <c r="DI5" i="1"/>
  <c r="DI4" i="1"/>
  <c r="DI3" i="1"/>
  <c r="BF43" i="2"/>
  <c r="BF42" i="2"/>
  <c r="BF41" i="2"/>
  <c r="BF39" i="2"/>
  <c r="BF38" i="2"/>
  <c r="BF37" i="2"/>
  <c r="BF35" i="2"/>
  <c r="BF34" i="2"/>
  <c r="BF33" i="2"/>
  <c r="BF31" i="2"/>
  <c r="BF30" i="2"/>
  <c r="BF29" i="2"/>
  <c r="BF27" i="2"/>
  <c r="BF26" i="2"/>
  <c r="BF25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7" i="2"/>
  <c r="BF6" i="2"/>
  <c r="BF5" i="2"/>
  <c r="BF4" i="2"/>
  <c r="BF3" i="2"/>
  <c r="BD43" i="2"/>
  <c r="BB43" i="2"/>
  <c r="AZ43" i="2"/>
  <c r="AX43" i="2"/>
  <c r="AV43" i="2"/>
  <c r="BD42" i="2"/>
  <c r="BB42" i="2"/>
  <c r="AZ42" i="2"/>
  <c r="AX42" i="2"/>
  <c r="AV42" i="2"/>
  <c r="BD41" i="2"/>
  <c r="BB41" i="2"/>
  <c r="AZ41" i="2"/>
  <c r="AX41" i="2"/>
  <c r="AV41" i="2"/>
  <c r="BD39" i="2"/>
  <c r="BB39" i="2"/>
  <c r="AZ39" i="2"/>
  <c r="AX39" i="2"/>
  <c r="AV39" i="2"/>
  <c r="BD38" i="2"/>
  <c r="BB38" i="2"/>
  <c r="AZ38" i="2"/>
  <c r="AX38" i="2"/>
  <c r="AV38" i="2"/>
  <c r="BD37" i="2"/>
  <c r="BB37" i="2"/>
  <c r="AZ37" i="2"/>
  <c r="AX37" i="2"/>
  <c r="AV37" i="2"/>
  <c r="BD35" i="2"/>
  <c r="BB35" i="2"/>
  <c r="AZ35" i="2"/>
  <c r="AX35" i="2"/>
  <c r="AV35" i="2"/>
  <c r="BD34" i="2"/>
  <c r="BB34" i="2"/>
  <c r="AZ34" i="2"/>
  <c r="AX34" i="2"/>
  <c r="AV34" i="2"/>
  <c r="BD33" i="2"/>
  <c r="BB33" i="2"/>
  <c r="AZ33" i="2"/>
  <c r="AX33" i="2"/>
  <c r="AV33" i="2"/>
  <c r="BD31" i="2"/>
  <c r="BB31" i="2"/>
  <c r="AZ31" i="2"/>
  <c r="AX31" i="2"/>
  <c r="AV31" i="2"/>
  <c r="BD30" i="2"/>
  <c r="BB30" i="2"/>
  <c r="AZ30" i="2"/>
  <c r="AX30" i="2"/>
  <c r="AV30" i="2"/>
  <c r="BD29" i="2"/>
  <c r="BB29" i="2"/>
  <c r="AZ29" i="2"/>
  <c r="AX29" i="2"/>
  <c r="AV29" i="2"/>
  <c r="BD27" i="2"/>
  <c r="BB27" i="2"/>
  <c r="AZ27" i="2"/>
  <c r="AX27" i="2"/>
  <c r="AV27" i="2"/>
  <c r="BD26" i="2"/>
  <c r="BB26" i="2"/>
  <c r="AZ26" i="2"/>
  <c r="AX26" i="2"/>
  <c r="AV26" i="2"/>
  <c r="BD25" i="2"/>
  <c r="BB25" i="2"/>
  <c r="AZ25" i="2"/>
  <c r="AX25" i="2"/>
  <c r="AV25" i="2"/>
  <c r="BD23" i="2"/>
  <c r="BB23" i="2"/>
  <c r="AZ23" i="2"/>
  <c r="AX23" i="2"/>
  <c r="AV23" i="2"/>
  <c r="BD22" i="2"/>
  <c r="BB22" i="2"/>
  <c r="AZ22" i="2"/>
  <c r="AX22" i="2"/>
  <c r="AV22" i="2"/>
  <c r="BD21" i="2"/>
  <c r="BB21" i="2"/>
  <c r="AZ21" i="2"/>
  <c r="AX21" i="2"/>
  <c r="AV21" i="2"/>
  <c r="BD20" i="2"/>
  <c r="BB20" i="2"/>
  <c r="AZ20" i="2"/>
  <c r="AX20" i="2"/>
  <c r="AV20" i="2"/>
  <c r="BD19" i="2"/>
  <c r="BB19" i="2"/>
  <c r="AZ19" i="2"/>
  <c r="AX19" i="2"/>
  <c r="AV19" i="2"/>
  <c r="BD18" i="2"/>
  <c r="BB18" i="2"/>
  <c r="AZ18" i="2"/>
  <c r="AX18" i="2"/>
  <c r="AV18" i="2"/>
  <c r="BD17" i="2"/>
  <c r="BB17" i="2"/>
  <c r="AZ17" i="2"/>
  <c r="AX17" i="2"/>
  <c r="AV17" i="2"/>
  <c r="BD16" i="2"/>
  <c r="BB16" i="2"/>
  <c r="AZ16" i="2"/>
  <c r="AX16" i="2"/>
  <c r="AV16" i="2"/>
  <c r="BD15" i="2"/>
  <c r="BB15" i="2"/>
  <c r="AZ15" i="2"/>
  <c r="AX15" i="2"/>
  <c r="AV15" i="2"/>
  <c r="BD14" i="2"/>
  <c r="BB14" i="2"/>
  <c r="AZ14" i="2"/>
  <c r="AX14" i="2"/>
  <c r="AV14" i="2"/>
  <c r="BD13" i="2"/>
  <c r="BB13" i="2"/>
  <c r="AZ13" i="2"/>
  <c r="AX13" i="2"/>
  <c r="AV13" i="2"/>
  <c r="BD12" i="2"/>
  <c r="BB12" i="2"/>
  <c r="AZ12" i="2"/>
  <c r="AX12" i="2"/>
  <c r="AV12" i="2"/>
  <c r="BD11" i="2"/>
  <c r="BB11" i="2"/>
  <c r="AZ11" i="2"/>
  <c r="AX11" i="2"/>
  <c r="AV11" i="2"/>
  <c r="BD10" i="2"/>
  <c r="BB10" i="2"/>
  <c r="AZ10" i="2"/>
  <c r="AX10" i="2"/>
  <c r="AV10" i="2"/>
  <c r="BD7" i="2"/>
  <c r="BB7" i="2"/>
  <c r="AZ7" i="2"/>
  <c r="AX7" i="2"/>
  <c r="AV7" i="2"/>
  <c r="BD6" i="2"/>
  <c r="BB6" i="2"/>
  <c r="AZ6" i="2"/>
  <c r="AX6" i="2"/>
  <c r="AV6" i="2"/>
  <c r="BD5" i="2"/>
  <c r="BB5" i="2"/>
  <c r="AZ5" i="2"/>
  <c r="AX5" i="2"/>
  <c r="AV5" i="2"/>
  <c r="BD4" i="2"/>
  <c r="BB4" i="2"/>
  <c r="AZ4" i="2"/>
  <c r="AX4" i="2"/>
  <c r="AV4" i="2"/>
  <c r="BD3" i="2"/>
  <c r="BB3" i="2"/>
  <c r="AZ3" i="2"/>
  <c r="AX3" i="2"/>
  <c r="AV3" i="2"/>
  <c r="DE3" i="3"/>
  <c r="DA3" i="3"/>
  <c r="CW3" i="3"/>
  <c r="CS3" i="3"/>
  <c r="CO3" i="3"/>
  <c r="CK3" i="3"/>
  <c r="CG3" i="3"/>
  <c r="CC3" i="3"/>
  <c r="BY3" i="3"/>
  <c r="BU3" i="3"/>
  <c r="BQ3" i="3"/>
  <c r="BM3" i="3"/>
  <c r="BI3" i="3"/>
  <c r="BE3" i="3"/>
  <c r="BA3" i="3"/>
  <c r="AW3" i="3"/>
  <c r="AS3" i="3"/>
  <c r="AO3" i="3"/>
  <c r="AK3" i="3"/>
  <c r="AG3" i="3"/>
  <c r="AC3" i="3"/>
  <c r="Y3" i="3"/>
  <c r="U3" i="3"/>
  <c r="Q3" i="3"/>
  <c r="M3" i="3"/>
  <c r="DE39" i="3"/>
  <c r="DA39" i="3"/>
  <c r="DE37" i="3"/>
  <c r="DA37" i="3"/>
  <c r="DE35" i="3"/>
  <c r="DA35" i="3"/>
  <c r="DE34" i="3"/>
  <c r="DA34" i="3"/>
  <c r="DE32" i="3"/>
  <c r="DA32" i="3"/>
  <c r="DE31" i="3"/>
  <c r="DA31" i="3"/>
  <c r="DE30" i="3"/>
  <c r="DA30" i="3"/>
  <c r="DE29" i="3"/>
  <c r="DA29" i="3"/>
  <c r="DE27" i="3"/>
  <c r="DA27" i="3"/>
  <c r="DE26" i="3"/>
  <c r="DA26" i="3"/>
  <c r="DE25" i="3"/>
  <c r="DA25" i="3"/>
  <c r="DE24" i="3"/>
  <c r="DA24" i="3"/>
  <c r="DE23" i="3"/>
  <c r="DA23" i="3"/>
  <c r="DE22" i="3"/>
  <c r="DA22" i="3"/>
  <c r="DE21" i="3"/>
  <c r="DA21" i="3"/>
  <c r="DE20" i="3"/>
  <c r="DA20" i="3"/>
  <c r="DE18" i="3"/>
  <c r="DA18" i="3"/>
  <c r="DE17" i="3"/>
  <c r="DA17" i="3"/>
  <c r="DE16" i="3"/>
  <c r="DA16" i="3"/>
  <c r="DE15" i="3"/>
  <c r="DA15" i="3"/>
  <c r="DE14" i="3"/>
  <c r="DA14" i="3"/>
  <c r="DE13" i="3"/>
  <c r="DA13" i="3"/>
  <c r="DE12" i="3"/>
  <c r="DA12" i="3"/>
  <c r="DE11" i="3"/>
  <c r="DA11" i="3"/>
  <c r="DE10" i="3"/>
  <c r="DA10" i="3"/>
  <c r="DE9" i="3"/>
  <c r="DA9" i="3"/>
  <c r="DE8" i="3"/>
  <c r="DA8" i="3"/>
  <c r="DE7" i="3"/>
  <c r="DA7" i="3"/>
  <c r="DE6" i="3"/>
  <c r="DA6" i="3"/>
  <c r="DE5" i="3"/>
  <c r="DA5" i="3"/>
  <c r="DE4" i="3"/>
  <c r="DA4" i="3"/>
  <c r="CW39" i="3"/>
  <c r="CS39" i="3"/>
  <c r="CO39" i="3"/>
  <c r="CW37" i="3"/>
  <c r="CS37" i="3"/>
  <c r="CO37" i="3"/>
  <c r="CW35" i="3"/>
  <c r="CS35" i="3"/>
  <c r="CO35" i="3"/>
  <c r="CW34" i="3"/>
  <c r="CS34" i="3"/>
  <c r="CO34" i="3"/>
  <c r="CW32" i="3"/>
  <c r="CS32" i="3"/>
  <c r="CO32" i="3"/>
  <c r="CW31" i="3"/>
  <c r="CS31" i="3"/>
  <c r="CO31" i="3"/>
  <c r="CW30" i="3"/>
  <c r="CS30" i="3"/>
  <c r="CO30" i="3"/>
  <c r="CW29" i="3"/>
  <c r="CS29" i="3"/>
  <c r="CO29" i="3"/>
  <c r="CW27" i="3"/>
  <c r="CS27" i="3"/>
  <c r="CO27" i="3"/>
  <c r="CW26" i="3"/>
  <c r="CS26" i="3"/>
  <c r="CO26" i="3"/>
  <c r="CW25" i="3"/>
  <c r="CS25" i="3"/>
  <c r="CO25" i="3"/>
  <c r="CW24" i="3"/>
  <c r="CS24" i="3"/>
  <c r="CO24" i="3"/>
  <c r="CW23" i="3"/>
  <c r="CS23" i="3"/>
  <c r="CO23" i="3"/>
  <c r="CW22" i="3"/>
  <c r="CS22" i="3"/>
  <c r="CO22" i="3"/>
  <c r="CW21" i="3"/>
  <c r="CS21" i="3"/>
  <c r="CO21" i="3"/>
  <c r="CW20" i="3"/>
  <c r="CS20" i="3"/>
  <c r="CO20" i="3"/>
  <c r="CW18" i="3"/>
  <c r="CS18" i="3"/>
  <c r="CO18" i="3"/>
  <c r="CW17" i="3"/>
  <c r="CS17" i="3"/>
  <c r="CO17" i="3"/>
  <c r="CW16" i="3"/>
  <c r="CS16" i="3"/>
  <c r="CO16" i="3"/>
  <c r="CW15" i="3"/>
  <c r="CS15" i="3"/>
  <c r="CO15" i="3"/>
  <c r="CW14" i="3"/>
  <c r="CS14" i="3"/>
  <c r="CO14" i="3"/>
  <c r="CW13" i="3"/>
  <c r="CS13" i="3"/>
  <c r="CO13" i="3"/>
  <c r="CW12" i="3"/>
  <c r="CS12" i="3"/>
  <c r="CO12" i="3"/>
  <c r="CW11" i="3"/>
  <c r="CS11" i="3"/>
  <c r="CO11" i="3"/>
  <c r="CW10" i="3"/>
  <c r="CS10" i="3"/>
  <c r="CO10" i="3"/>
  <c r="CW9" i="3"/>
  <c r="CS9" i="3"/>
  <c r="CO9" i="3"/>
  <c r="CW8" i="3"/>
  <c r="CS8" i="3"/>
  <c r="CO8" i="3"/>
  <c r="CW7" i="3"/>
  <c r="CS7" i="3"/>
  <c r="CO7" i="3"/>
  <c r="CW6" i="3"/>
  <c r="CS6" i="3"/>
  <c r="CO6" i="3"/>
  <c r="CW5" i="3"/>
  <c r="CS5" i="3"/>
  <c r="CO5" i="3"/>
  <c r="CW4" i="3"/>
  <c r="CS4" i="3"/>
  <c r="CO4" i="3"/>
  <c r="DE85" i="1"/>
  <c r="DA85" i="1"/>
  <c r="DE84" i="1"/>
  <c r="DA84" i="1"/>
  <c r="DE83" i="1"/>
  <c r="DA83" i="1"/>
  <c r="DE82" i="1"/>
  <c r="DA82" i="1"/>
  <c r="DE81" i="1"/>
  <c r="DA81" i="1"/>
  <c r="DE80" i="1"/>
  <c r="DA80" i="1"/>
  <c r="DE78" i="1"/>
  <c r="DA78" i="1"/>
  <c r="DE77" i="1"/>
  <c r="DA77" i="1"/>
  <c r="DE76" i="1"/>
  <c r="DA76" i="1"/>
  <c r="DE75" i="1"/>
  <c r="DA75" i="1"/>
  <c r="DE74" i="1"/>
  <c r="DA74" i="1"/>
  <c r="DE73" i="1"/>
  <c r="DA73" i="1"/>
  <c r="DE71" i="1"/>
  <c r="DA71" i="1"/>
  <c r="DE70" i="1"/>
  <c r="DA70" i="1"/>
  <c r="DE69" i="1"/>
  <c r="DA69" i="1"/>
  <c r="DE68" i="1"/>
  <c r="DA68" i="1"/>
  <c r="DE67" i="1"/>
  <c r="DA67" i="1"/>
  <c r="DE66" i="1"/>
  <c r="DA66" i="1"/>
  <c r="DE64" i="1"/>
  <c r="DA64" i="1"/>
  <c r="DE63" i="1"/>
  <c r="DA63" i="1"/>
  <c r="DE62" i="1"/>
  <c r="DA62" i="1"/>
  <c r="DE61" i="1"/>
  <c r="DA61" i="1"/>
  <c r="DE60" i="1"/>
  <c r="DA60" i="1"/>
  <c r="DE59" i="1"/>
  <c r="DA59" i="1"/>
  <c r="DE57" i="1"/>
  <c r="DA57" i="1"/>
  <c r="DE56" i="1"/>
  <c r="DA56" i="1"/>
  <c r="DE55" i="1"/>
  <c r="DA55" i="1"/>
  <c r="DE54" i="1"/>
  <c r="DA54" i="1"/>
  <c r="DE53" i="1"/>
  <c r="DA53" i="1"/>
  <c r="DE52" i="1"/>
  <c r="DA52" i="1"/>
  <c r="DE50" i="1"/>
  <c r="DA50" i="1"/>
  <c r="DE49" i="1"/>
  <c r="DA49" i="1"/>
  <c r="DE48" i="1"/>
  <c r="DA48" i="1"/>
  <c r="DE47" i="1"/>
  <c r="DA47" i="1"/>
  <c r="DE46" i="1"/>
  <c r="DA46" i="1"/>
  <c r="DE45" i="1"/>
  <c r="DA45" i="1"/>
  <c r="DE43" i="1"/>
  <c r="DA43" i="1"/>
  <c r="DE42" i="1"/>
  <c r="DA42" i="1"/>
  <c r="DE41" i="1"/>
  <c r="DA41" i="1"/>
  <c r="DE40" i="1"/>
  <c r="DA40" i="1"/>
  <c r="DE39" i="1"/>
  <c r="DA39" i="1"/>
  <c r="DE38" i="1"/>
  <c r="DA38" i="1"/>
  <c r="DE36" i="1"/>
  <c r="DA36" i="1"/>
  <c r="DE35" i="1"/>
  <c r="DA35" i="1"/>
  <c r="DE34" i="1"/>
  <c r="DA34" i="1"/>
  <c r="DE33" i="1"/>
  <c r="DA33" i="1"/>
  <c r="DE32" i="1"/>
  <c r="DA32" i="1"/>
  <c r="DE31" i="1"/>
  <c r="DA31" i="1"/>
  <c r="DE29" i="1"/>
  <c r="DA29" i="1"/>
  <c r="DE28" i="1"/>
  <c r="DA28" i="1"/>
  <c r="DE27" i="1"/>
  <c r="DA27" i="1"/>
  <c r="DE26" i="1"/>
  <c r="DA26" i="1"/>
  <c r="DE25" i="1"/>
  <c r="DA25" i="1"/>
  <c r="DE24" i="1"/>
  <c r="DA24" i="1"/>
  <c r="DE22" i="1"/>
  <c r="DA22" i="1"/>
  <c r="DE21" i="1"/>
  <c r="DA21" i="1"/>
  <c r="DE20" i="1"/>
  <c r="DA20" i="1"/>
  <c r="DE19" i="1"/>
  <c r="DA19" i="1"/>
  <c r="DE18" i="1"/>
  <c r="DA18" i="1"/>
  <c r="DE17" i="1"/>
  <c r="DA17" i="1"/>
  <c r="DE15" i="1"/>
  <c r="DA15" i="1"/>
  <c r="DE14" i="1"/>
  <c r="DA14" i="1"/>
  <c r="DE13" i="1"/>
  <c r="DA13" i="1"/>
  <c r="DE12" i="1"/>
  <c r="DA12" i="1"/>
  <c r="DE11" i="1"/>
  <c r="DA11" i="1"/>
  <c r="DE10" i="1"/>
  <c r="DA10" i="1"/>
  <c r="DE8" i="1"/>
  <c r="DA8" i="1"/>
  <c r="DE7" i="1"/>
  <c r="DA7" i="1"/>
  <c r="DE6" i="1"/>
  <c r="DA6" i="1"/>
  <c r="DE5" i="1"/>
  <c r="DA5" i="1"/>
  <c r="DE4" i="1"/>
  <c r="DA4" i="1"/>
  <c r="DE3" i="1"/>
  <c r="DA3" i="1"/>
  <c r="R25" i="2"/>
  <c r="T25" i="2"/>
  <c r="V25" i="2"/>
  <c r="X25" i="2"/>
  <c r="Z25" i="2"/>
  <c r="AB25" i="2"/>
  <c r="AD25" i="2"/>
  <c r="AF25" i="2"/>
  <c r="AH25" i="2"/>
  <c r="R26" i="2"/>
  <c r="T26" i="2"/>
  <c r="V26" i="2"/>
  <c r="X26" i="2"/>
  <c r="Z26" i="2"/>
  <c r="AB26" i="2"/>
  <c r="AD26" i="2"/>
  <c r="AF26" i="2"/>
  <c r="AH26" i="2"/>
  <c r="R27" i="2"/>
  <c r="T27" i="2"/>
  <c r="V27" i="2"/>
  <c r="X27" i="2"/>
  <c r="Z27" i="2"/>
  <c r="AB27" i="2"/>
  <c r="AD27" i="2"/>
  <c r="AF27" i="2"/>
  <c r="AH27" i="2"/>
  <c r="R29" i="2"/>
  <c r="T29" i="2"/>
  <c r="V29" i="2"/>
  <c r="X29" i="2"/>
  <c r="Z29" i="2"/>
  <c r="AB29" i="2"/>
  <c r="AD29" i="2"/>
  <c r="AF29" i="2"/>
  <c r="AH29" i="2"/>
  <c r="R30" i="2"/>
  <c r="T30" i="2"/>
  <c r="V30" i="2"/>
  <c r="X30" i="2"/>
  <c r="Z30" i="2"/>
  <c r="AB30" i="2"/>
  <c r="AD30" i="2"/>
  <c r="AF30" i="2"/>
  <c r="AH30" i="2"/>
  <c r="R31" i="2"/>
  <c r="T31" i="2"/>
  <c r="V31" i="2"/>
  <c r="X31" i="2"/>
  <c r="Z31" i="2"/>
  <c r="AB31" i="2"/>
  <c r="AD31" i="2"/>
  <c r="AF31" i="2"/>
  <c r="AH31" i="2"/>
  <c r="R33" i="2"/>
  <c r="T33" i="2"/>
  <c r="V33" i="2"/>
  <c r="X33" i="2"/>
  <c r="Z33" i="2"/>
  <c r="AB33" i="2"/>
  <c r="AD33" i="2"/>
  <c r="AF33" i="2"/>
  <c r="AH33" i="2"/>
  <c r="R34" i="2"/>
  <c r="T34" i="2"/>
  <c r="V34" i="2"/>
  <c r="X34" i="2"/>
  <c r="Z34" i="2"/>
  <c r="AB34" i="2"/>
  <c r="AD34" i="2"/>
  <c r="AF34" i="2"/>
  <c r="AH34" i="2"/>
  <c r="R35" i="2"/>
  <c r="T35" i="2"/>
  <c r="V35" i="2"/>
  <c r="X35" i="2"/>
  <c r="Z35" i="2"/>
  <c r="AB35" i="2"/>
  <c r="AD35" i="2"/>
  <c r="AF35" i="2"/>
  <c r="AH35" i="2"/>
  <c r="R37" i="2"/>
  <c r="T37" i="2"/>
  <c r="V37" i="2"/>
  <c r="X37" i="2"/>
  <c r="Z37" i="2"/>
  <c r="AB37" i="2"/>
  <c r="AD37" i="2"/>
  <c r="AF37" i="2"/>
  <c r="AH37" i="2"/>
  <c r="R38" i="2"/>
  <c r="T38" i="2"/>
  <c r="V38" i="2"/>
  <c r="X38" i="2"/>
  <c r="Z38" i="2"/>
  <c r="AB38" i="2"/>
  <c r="AD38" i="2"/>
  <c r="AF38" i="2"/>
  <c r="AH38" i="2"/>
  <c r="R39" i="2"/>
  <c r="T39" i="2"/>
  <c r="V39" i="2"/>
  <c r="X39" i="2"/>
  <c r="Z39" i="2"/>
  <c r="AB39" i="2"/>
  <c r="AD39" i="2"/>
  <c r="AF39" i="2"/>
  <c r="AH39" i="2"/>
  <c r="R41" i="2"/>
  <c r="T41" i="2"/>
  <c r="V41" i="2"/>
  <c r="X41" i="2"/>
  <c r="Z41" i="2"/>
  <c r="AB41" i="2"/>
  <c r="AD41" i="2"/>
  <c r="AF41" i="2"/>
  <c r="AH41" i="2"/>
  <c r="R42" i="2"/>
  <c r="T42" i="2"/>
  <c r="V42" i="2"/>
  <c r="X42" i="2"/>
  <c r="Z42" i="2"/>
  <c r="AB42" i="2"/>
  <c r="AD42" i="2"/>
  <c r="AF42" i="2"/>
  <c r="AH42" i="2"/>
  <c r="R43" i="2"/>
  <c r="T43" i="2"/>
  <c r="V43" i="2"/>
  <c r="X43" i="2"/>
  <c r="Z43" i="2"/>
  <c r="AB43" i="2"/>
  <c r="AD43" i="2"/>
  <c r="AF43" i="2"/>
  <c r="AH43" i="2"/>
  <c r="AT43" i="2"/>
  <c r="AR43" i="2"/>
  <c r="AP43" i="2"/>
  <c r="AN43" i="2"/>
  <c r="AL43" i="2"/>
  <c r="AJ43" i="2"/>
  <c r="AT42" i="2"/>
  <c r="AR42" i="2"/>
  <c r="AP42" i="2"/>
  <c r="AN42" i="2"/>
  <c r="AL42" i="2"/>
  <c r="AJ42" i="2"/>
  <c r="AT41" i="2"/>
  <c r="AR41" i="2"/>
  <c r="AP41" i="2"/>
  <c r="AN41" i="2"/>
  <c r="AL41" i="2"/>
  <c r="AJ41" i="2"/>
  <c r="AT39" i="2"/>
  <c r="AR39" i="2"/>
  <c r="AP39" i="2"/>
  <c r="AN39" i="2"/>
  <c r="AL39" i="2"/>
  <c r="AJ39" i="2"/>
  <c r="AT38" i="2"/>
  <c r="AR38" i="2"/>
  <c r="AP38" i="2"/>
  <c r="AN38" i="2"/>
  <c r="AL38" i="2"/>
  <c r="AJ38" i="2"/>
  <c r="AT37" i="2"/>
  <c r="AR37" i="2"/>
  <c r="AP37" i="2"/>
  <c r="AN37" i="2"/>
  <c r="AL37" i="2"/>
  <c r="AJ37" i="2"/>
  <c r="AT35" i="2"/>
  <c r="AR35" i="2"/>
  <c r="AP35" i="2"/>
  <c r="AN35" i="2"/>
  <c r="AL35" i="2"/>
  <c r="AJ35" i="2"/>
  <c r="AT34" i="2"/>
  <c r="AR34" i="2"/>
  <c r="AP34" i="2"/>
  <c r="AN34" i="2"/>
  <c r="AL34" i="2"/>
  <c r="AJ34" i="2"/>
  <c r="AT33" i="2"/>
  <c r="AR33" i="2"/>
  <c r="AP33" i="2"/>
  <c r="AN33" i="2"/>
  <c r="AL33" i="2"/>
  <c r="AJ33" i="2"/>
  <c r="AT31" i="2"/>
  <c r="AR31" i="2"/>
  <c r="AP31" i="2"/>
  <c r="AN31" i="2"/>
  <c r="AL31" i="2"/>
  <c r="AJ31" i="2"/>
  <c r="AT30" i="2"/>
  <c r="AR30" i="2"/>
  <c r="AP30" i="2"/>
  <c r="AN30" i="2"/>
  <c r="AL30" i="2"/>
  <c r="AJ30" i="2"/>
  <c r="AT29" i="2"/>
  <c r="AR29" i="2"/>
  <c r="AP29" i="2"/>
  <c r="AN29" i="2"/>
  <c r="AL29" i="2"/>
  <c r="AJ29" i="2"/>
  <c r="AT27" i="2"/>
  <c r="AR27" i="2"/>
  <c r="AP27" i="2"/>
  <c r="AN27" i="2"/>
  <c r="AL27" i="2"/>
  <c r="AJ27" i="2"/>
  <c r="AT26" i="2"/>
  <c r="AR26" i="2"/>
  <c r="AP26" i="2"/>
  <c r="AN26" i="2"/>
  <c r="AL26" i="2"/>
  <c r="AJ26" i="2"/>
  <c r="AT25" i="2"/>
  <c r="AR25" i="2"/>
  <c r="AP25" i="2"/>
  <c r="AN25" i="2"/>
  <c r="AL25" i="2"/>
  <c r="AJ25" i="2"/>
  <c r="AT23" i="2"/>
  <c r="AR23" i="2"/>
  <c r="AP23" i="2"/>
  <c r="AN23" i="2"/>
  <c r="AL23" i="2"/>
  <c r="AJ23" i="2"/>
  <c r="AH23" i="2"/>
  <c r="AF23" i="2"/>
  <c r="AD23" i="2"/>
  <c r="AB23" i="2"/>
  <c r="AT22" i="2"/>
  <c r="AR22" i="2"/>
  <c r="AP22" i="2"/>
  <c r="AN22" i="2"/>
  <c r="AL22" i="2"/>
  <c r="AJ22" i="2"/>
  <c r="AH22" i="2"/>
  <c r="AF22" i="2"/>
  <c r="AD22" i="2"/>
  <c r="AB22" i="2"/>
  <c r="AT21" i="2"/>
  <c r="AR21" i="2"/>
  <c r="AP21" i="2"/>
  <c r="AN21" i="2"/>
  <c r="AL21" i="2"/>
  <c r="AJ21" i="2"/>
  <c r="AH21" i="2"/>
  <c r="AF21" i="2"/>
  <c r="AD21" i="2"/>
  <c r="AB21" i="2"/>
  <c r="AT20" i="2"/>
  <c r="AR20" i="2"/>
  <c r="AP20" i="2"/>
  <c r="AN20" i="2"/>
  <c r="AL20" i="2"/>
  <c r="AJ20" i="2"/>
  <c r="AH20" i="2"/>
  <c r="AF20" i="2"/>
  <c r="AD20" i="2"/>
  <c r="AB20" i="2"/>
  <c r="AT19" i="2"/>
  <c r="AR19" i="2"/>
  <c r="AP19" i="2"/>
  <c r="AN19" i="2"/>
  <c r="AL19" i="2"/>
  <c r="AJ19" i="2"/>
  <c r="AH19" i="2"/>
  <c r="AF19" i="2"/>
  <c r="AD19" i="2"/>
  <c r="AB19" i="2"/>
  <c r="AT18" i="2"/>
  <c r="AR18" i="2"/>
  <c r="AP18" i="2"/>
  <c r="AN18" i="2"/>
  <c r="AL18" i="2"/>
  <c r="AJ18" i="2"/>
  <c r="AH18" i="2"/>
  <c r="AF18" i="2"/>
  <c r="AD18" i="2"/>
  <c r="AB18" i="2"/>
  <c r="AT17" i="2"/>
  <c r="AR17" i="2"/>
  <c r="AP17" i="2"/>
  <c r="AN17" i="2"/>
  <c r="AL17" i="2"/>
  <c r="AJ17" i="2"/>
  <c r="AH17" i="2"/>
  <c r="AF17" i="2"/>
  <c r="AD17" i="2"/>
  <c r="AB17" i="2"/>
  <c r="AT16" i="2"/>
  <c r="AR16" i="2"/>
  <c r="AP16" i="2"/>
  <c r="AN16" i="2"/>
  <c r="AL16" i="2"/>
  <c r="AJ16" i="2"/>
  <c r="AH16" i="2"/>
  <c r="AF16" i="2"/>
  <c r="AD16" i="2"/>
  <c r="AB16" i="2"/>
  <c r="AT15" i="2"/>
  <c r="AR15" i="2"/>
  <c r="AP15" i="2"/>
  <c r="AN15" i="2"/>
  <c r="AL15" i="2"/>
  <c r="AJ15" i="2"/>
  <c r="AH15" i="2"/>
  <c r="AF15" i="2"/>
  <c r="AD15" i="2"/>
  <c r="AB15" i="2"/>
  <c r="AT14" i="2"/>
  <c r="AR14" i="2"/>
  <c r="AP14" i="2"/>
  <c r="AN14" i="2"/>
  <c r="AL14" i="2"/>
  <c r="AJ14" i="2"/>
  <c r="AH14" i="2"/>
  <c r="AF14" i="2"/>
  <c r="AD14" i="2"/>
  <c r="AB14" i="2"/>
  <c r="AT13" i="2"/>
  <c r="AR13" i="2"/>
  <c r="AP13" i="2"/>
  <c r="AN13" i="2"/>
  <c r="AL13" i="2"/>
  <c r="AJ13" i="2"/>
  <c r="AH13" i="2"/>
  <c r="AF13" i="2"/>
  <c r="AD13" i="2"/>
  <c r="AB13" i="2"/>
  <c r="AT12" i="2"/>
  <c r="AR12" i="2"/>
  <c r="AP12" i="2"/>
  <c r="AN12" i="2"/>
  <c r="AL12" i="2"/>
  <c r="AJ12" i="2"/>
  <c r="AH12" i="2"/>
  <c r="AF12" i="2"/>
  <c r="AD12" i="2"/>
  <c r="AB12" i="2"/>
  <c r="AT11" i="2"/>
  <c r="AR11" i="2"/>
  <c r="AP11" i="2"/>
  <c r="AN11" i="2"/>
  <c r="AL11" i="2"/>
  <c r="AJ11" i="2"/>
  <c r="AH11" i="2"/>
  <c r="AF11" i="2"/>
  <c r="AD11" i="2"/>
  <c r="AB11" i="2"/>
  <c r="AT10" i="2"/>
  <c r="AR10" i="2"/>
  <c r="AP10" i="2"/>
  <c r="AN10" i="2"/>
  <c r="AL10" i="2"/>
  <c r="AJ10" i="2"/>
  <c r="AH10" i="2"/>
  <c r="AF10" i="2"/>
  <c r="AD10" i="2"/>
  <c r="AB10" i="2"/>
  <c r="AT7" i="2"/>
  <c r="AR7" i="2"/>
  <c r="AP7" i="2"/>
  <c r="AN7" i="2"/>
  <c r="AL7" i="2"/>
  <c r="AJ7" i="2"/>
  <c r="AH7" i="2"/>
  <c r="AF7" i="2"/>
  <c r="AD7" i="2"/>
  <c r="AB7" i="2"/>
  <c r="AT6" i="2"/>
  <c r="AR6" i="2"/>
  <c r="AP6" i="2"/>
  <c r="AN6" i="2"/>
  <c r="AL6" i="2"/>
  <c r="AJ6" i="2"/>
  <c r="AH6" i="2"/>
  <c r="AF6" i="2"/>
  <c r="AD6" i="2"/>
  <c r="AB6" i="2"/>
  <c r="AT5" i="2"/>
  <c r="AR5" i="2"/>
  <c r="AP5" i="2"/>
  <c r="AN5" i="2"/>
  <c r="AL5" i="2"/>
  <c r="AJ5" i="2"/>
  <c r="AH5" i="2"/>
  <c r="AF5" i="2"/>
  <c r="AD5" i="2"/>
  <c r="AB5" i="2"/>
  <c r="AT4" i="2"/>
  <c r="AR4" i="2"/>
  <c r="AP4" i="2"/>
  <c r="AN4" i="2"/>
  <c r="AL4" i="2"/>
  <c r="AJ4" i="2"/>
  <c r="AH4" i="2"/>
  <c r="AF4" i="2"/>
  <c r="AD4" i="2"/>
  <c r="AB4" i="2"/>
  <c r="AT3" i="2"/>
  <c r="AR3" i="2"/>
  <c r="AP3" i="2"/>
  <c r="AN3" i="2"/>
  <c r="AL3" i="2"/>
  <c r="AJ3" i="2"/>
  <c r="AH3" i="2"/>
  <c r="AF3" i="2"/>
  <c r="AD3" i="2"/>
  <c r="AB3" i="2"/>
  <c r="Z23" i="2"/>
  <c r="X23" i="2"/>
  <c r="V23" i="2"/>
  <c r="T23" i="2"/>
  <c r="R23" i="2"/>
  <c r="Z22" i="2"/>
  <c r="X22" i="2"/>
  <c r="V22" i="2"/>
  <c r="T22" i="2"/>
  <c r="R22" i="2"/>
  <c r="Z21" i="2"/>
  <c r="X21" i="2"/>
  <c r="V21" i="2"/>
  <c r="T21" i="2"/>
  <c r="R21" i="2"/>
  <c r="Z20" i="2"/>
  <c r="X20" i="2"/>
  <c r="V20" i="2"/>
  <c r="T20" i="2"/>
  <c r="R20" i="2"/>
  <c r="Z19" i="2"/>
  <c r="X19" i="2"/>
  <c r="V19" i="2"/>
  <c r="T19" i="2"/>
  <c r="R19" i="2"/>
  <c r="Z18" i="2"/>
  <c r="X18" i="2"/>
  <c r="V18" i="2"/>
  <c r="T18" i="2"/>
  <c r="R18" i="2"/>
  <c r="Z17" i="2"/>
  <c r="X17" i="2"/>
  <c r="V17" i="2"/>
  <c r="T17" i="2"/>
  <c r="R17" i="2"/>
  <c r="Z16" i="2"/>
  <c r="X16" i="2"/>
  <c r="V16" i="2"/>
  <c r="T16" i="2"/>
  <c r="R16" i="2"/>
  <c r="Z15" i="2"/>
  <c r="X15" i="2"/>
  <c r="V15" i="2"/>
  <c r="T15" i="2"/>
  <c r="R15" i="2"/>
  <c r="Z14" i="2"/>
  <c r="X14" i="2"/>
  <c r="V14" i="2"/>
  <c r="T14" i="2"/>
  <c r="R14" i="2"/>
  <c r="Z13" i="2"/>
  <c r="X13" i="2"/>
  <c r="V13" i="2"/>
  <c r="T13" i="2"/>
  <c r="R13" i="2"/>
  <c r="Z12" i="2"/>
  <c r="X12" i="2"/>
  <c r="V12" i="2"/>
  <c r="T12" i="2"/>
  <c r="R12" i="2"/>
  <c r="Z11" i="2"/>
  <c r="X11" i="2"/>
  <c r="V11" i="2"/>
  <c r="T11" i="2"/>
  <c r="R11" i="2"/>
  <c r="Z10" i="2"/>
  <c r="X10" i="2"/>
  <c r="V10" i="2"/>
  <c r="T10" i="2"/>
  <c r="R10" i="2"/>
  <c r="Z7" i="2"/>
  <c r="X7" i="2"/>
  <c r="V7" i="2"/>
  <c r="T7" i="2"/>
  <c r="R7" i="2"/>
  <c r="Z6" i="2"/>
  <c r="X6" i="2"/>
  <c r="V6" i="2"/>
  <c r="T6" i="2"/>
  <c r="R6" i="2"/>
  <c r="Z5" i="2"/>
  <c r="X5" i="2"/>
  <c r="V5" i="2"/>
  <c r="T5" i="2"/>
  <c r="R5" i="2"/>
  <c r="Z4" i="2"/>
  <c r="X4" i="2"/>
  <c r="V4" i="2"/>
  <c r="T4" i="2"/>
  <c r="R4" i="2"/>
  <c r="Z3" i="2"/>
  <c r="X3" i="2"/>
  <c r="V3" i="2"/>
  <c r="T3" i="2"/>
  <c r="R3" i="2"/>
  <c r="CK7" i="3"/>
  <c r="CG7" i="3"/>
  <c r="CC7" i="3"/>
  <c r="BY7" i="3"/>
  <c r="BU7" i="3"/>
  <c r="BQ7" i="3"/>
  <c r="BM7" i="3"/>
  <c r="BI7" i="3"/>
  <c r="BE7" i="3"/>
  <c r="BA7" i="3"/>
  <c r="AW7" i="3"/>
  <c r="AS7" i="3"/>
  <c r="AO7" i="3"/>
  <c r="AK7" i="3"/>
  <c r="AG7" i="3"/>
  <c r="AC7" i="3"/>
  <c r="Y7" i="3"/>
  <c r="U7" i="3"/>
  <c r="Q7" i="3"/>
  <c r="M7" i="3"/>
  <c r="CK6" i="3"/>
  <c r="CG6" i="3"/>
  <c r="CC6" i="3"/>
  <c r="BY6" i="3"/>
  <c r="BU6" i="3"/>
  <c r="BQ6" i="3"/>
  <c r="BM6" i="3"/>
  <c r="BI6" i="3"/>
  <c r="BE6" i="3"/>
  <c r="BA6" i="3"/>
  <c r="AW6" i="3"/>
  <c r="AS6" i="3"/>
  <c r="AO6" i="3"/>
  <c r="AK6" i="3"/>
  <c r="AG6" i="3"/>
  <c r="AC6" i="3"/>
  <c r="Y6" i="3"/>
  <c r="U6" i="3"/>
  <c r="Q6" i="3"/>
  <c r="M6" i="3"/>
  <c r="CK5" i="3"/>
  <c r="CG5" i="3"/>
  <c r="CC5" i="3"/>
  <c r="BY5" i="3"/>
  <c r="BU5" i="3"/>
  <c r="BQ5" i="3"/>
  <c r="BM5" i="3"/>
  <c r="BI5" i="3"/>
  <c r="BE5" i="3"/>
  <c r="BA5" i="3"/>
  <c r="AW5" i="3"/>
  <c r="AS5" i="3"/>
  <c r="AO5" i="3"/>
  <c r="AK5" i="3"/>
  <c r="AG5" i="3"/>
  <c r="AC5" i="3"/>
  <c r="Y5" i="3"/>
  <c r="U5" i="3"/>
  <c r="Q5" i="3"/>
  <c r="M5" i="3"/>
  <c r="CK4" i="3"/>
  <c r="CG4" i="3"/>
  <c r="CC4" i="3"/>
  <c r="BY4" i="3"/>
  <c r="BU4" i="3"/>
  <c r="BQ4" i="3"/>
  <c r="BM4" i="3"/>
  <c r="BI4" i="3"/>
  <c r="BE4" i="3"/>
  <c r="BA4" i="3"/>
  <c r="AW4" i="3"/>
  <c r="AS4" i="3"/>
  <c r="AO4" i="3"/>
  <c r="AK4" i="3"/>
  <c r="AG4" i="3"/>
  <c r="AC4" i="3"/>
  <c r="Y4" i="3"/>
  <c r="U4" i="3"/>
  <c r="Q4" i="3"/>
  <c r="M4" i="3"/>
  <c r="M8" i="3"/>
  <c r="Q8" i="3"/>
  <c r="U8" i="3"/>
  <c r="Y8" i="3"/>
  <c r="AC8" i="3"/>
  <c r="AG8" i="3"/>
  <c r="AK8" i="3"/>
  <c r="AO8" i="3"/>
  <c r="AS8" i="3"/>
  <c r="AW8" i="3"/>
  <c r="BA8" i="3"/>
  <c r="BE8" i="3"/>
  <c r="BI8" i="3"/>
  <c r="BM8" i="3"/>
  <c r="BQ8" i="3"/>
  <c r="BU8" i="3"/>
  <c r="BY8" i="3"/>
  <c r="CC8" i="3"/>
  <c r="CG8" i="3"/>
  <c r="CK8" i="3"/>
  <c r="CK39" i="3"/>
  <c r="CG39" i="3"/>
  <c r="CC39" i="3"/>
  <c r="BY39" i="3"/>
  <c r="BU39" i="3"/>
  <c r="BQ39" i="3"/>
  <c r="BM39" i="3"/>
  <c r="BI39" i="3"/>
  <c r="BE39" i="3"/>
  <c r="BA39" i="3"/>
  <c r="CK37" i="3"/>
  <c r="CG37" i="3"/>
  <c r="CC37" i="3"/>
  <c r="BY37" i="3"/>
  <c r="BU37" i="3"/>
  <c r="BQ37" i="3"/>
  <c r="BM37" i="3"/>
  <c r="BI37" i="3"/>
  <c r="BE37" i="3"/>
  <c r="BA37" i="3"/>
  <c r="CK35" i="3"/>
  <c r="CG35" i="3"/>
  <c r="CC35" i="3"/>
  <c r="BY35" i="3"/>
  <c r="BU35" i="3"/>
  <c r="BQ35" i="3"/>
  <c r="BM35" i="3"/>
  <c r="BI35" i="3"/>
  <c r="BE35" i="3"/>
  <c r="BA35" i="3"/>
  <c r="CK34" i="3"/>
  <c r="CG34" i="3"/>
  <c r="CC34" i="3"/>
  <c r="BY34" i="3"/>
  <c r="BU34" i="3"/>
  <c r="BQ34" i="3"/>
  <c r="BM34" i="3"/>
  <c r="BI34" i="3"/>
  <c r="BE34" i="3"/>
  <c r="BA34" i="3"/>
  <c r="CK32" i="3"/>
  <c r="CG32" i="3"/>
  <c r="CC32" i="3"/>
  <c r="BY32" i="3"/>
  <c r="BU32" i="3"/>
  <c r="BQ32" i="3"/>
  <c r="BM32" i="3"/>
  <c r="BI32" i="3"/>
  <c r="BE32" i="3"/>
  <c r="BA32" i="3"/>
  <c r="CK31" i="3"/>
  <c r="CG31" i="3"/>
  <c r="CC31" i="3"/>
  <c r="BY31" i="3"/>
  <c r="BU31" i="3"/>
  <c r="BQ31" i="3"/>
  <c r="BM31" i="3"/>
  <c r="BI31" i="3"/>
  <c r="BE31" i="3"/>
  <c r="BA31" i="3"/>
  <c r="CK30" i="3"/>
  <c r="CG30" i="3"/>
  <c r="CC30" i="3"/>
  <c r="BY30" i="3"/>
  <c r="BU30" i="3"/>
  <c r="BQ30" i="3"/>
  <c r="BM30" i="3"/>
  <c r="BI30" i="3"/>
  <c r="BE30" i="3"/>
  <c r="BA30" i="3"/>
  <c r="CK29" i="3"/>
  <c r="CG29" i="3"/>
  <c r="CC29" i="3"/>
  <c r="BY29" i="3"/>
  <c r="BU29" i="3"/>
  <c r="BQ29" i="3"/>
  <c r="BM29" i="3"/>
  <c r="BI29" i="3"/>
  <c r="BE29" i="3"/>
  <c r="BA29" i="3"/>
  <c r="CK27" i="3"/>
  <c r="CG27" i="3"/>
  <c r="CC27" i="3"/>
  <c r="BY27" i="3"/>
  <c r="BU27" i="3"/>
  <c r="BQ27" i="3"/>
  <c r="BM27" i="3"/>
  <c r="BI27" i="3"/>
  <c r="BE27" i="3"/>
  <c r="BA27" i="3"/>
  <c r="CK26" i="3"/>
  <c r="CG26" i="3"/>
  <c r="CC26" i="3"/>
  <c r="BY26" i="3"/>
  <c r="BU26" i="3"/>
  <c r="BQ26" i="3"/>
  <c r="BM26" i="3"/>
  <c r="BI26" i="3"/>
  <c r="BE26" i="3"/>
  <c r="BA26" i="3"/>
  <c r="CK25" i="3"/>
  <c r="CG25" i="3"/>
  <c r="CC25" i="3"/>
  <c r="BY25" i="3"/>
  <c r="BU25" i="3"/>
  <c r="BQ25" i="3"/>
  <c r="BM25" i="3"/>
  <c r="BI25" i="3"/>
  <c r="BE25" i="3"/>
  <c r="BA25" i="3"/>
  <c r="CK24" i="3"/>
  <c r="CG24" i="3"/>
  <c r="CC24" i="3"/>
  <c r="BY24" i="3"/>
  <c r="BU24" i="3"/>
  <c r="BQ24" i="3"/>
  <c r="BM24" i="3"/>
  <c r="BI24" i="3"/>
  <c r="BE24" i="3"/>
  <c r="BA24" i="3"/>
  <c r="CK23" i="3"/>
  <c r="CG23" i="3"/>
  <c r="CC23" i="3"/>
  <c r="BY23" i="3"/>
  <c r="BU23" i="3"/>
  <c r="BQ23" i="3"/>
  <c r="BM23" i="3"/>
  <c r="BI23" i="3"/>
  <c r="BE23" i="3"/>
  <c r="BA23" i="3"/>
  <c r="CK22" i="3"/>
  <c r="CG22" i="3"/>
  <c r="CC22" i="3"/>
  <c r="BY22" i="3"/>
  <c r="BU22" i="3"/>
  <c r="BQ22" i="3"/>
  <c r="BM22" i="3"/>
  <c r="BI22" i="3"/>
  <c r="BE22" i="3"/>
  <c r="BA22" i="3"/>
  <c r="CK21" i="3"/>
  <c r="CG21" i="3"/>
  <c r="CC21" i="3"/>
  <c r="BY21" i="3"/>
  <c r="BU21" i="3"/>
  <c r="BQ21" i="3"/>
  <c r="BM21" i="3"/>
  <c r="BI21" i="3"/>
  <c r="BE21" i="3"/>
  <c r="BA21" i="3"/>
  <c r="CK20" i="3"/>
  <c r="CG20" i="3"/>
  <c r="CC20" i="3"/>
  <c r="BY20" i="3"/>
  <c r="BU20" i="3"/>
  <c r="BQ20" i="3"/>
  <c r="BM20" i="3"/>
  <c r="BI20" i="3"/>
  <c r="BE20" i="3"/>
  <c r="BA20" i="3"/>
  <c r="CK18" i="3"/>
  <c r="CG18" i="3"/>
  <c r="CC18" i="3"/>
  <c r="BY18" i="3"/>
  <c r="BU18" i="3"/>
  <c r="BQ18" i="3"/>
  <c r="BM18" i="3"/>
  <c r="BI18" i="3"/>
  <c r="BE18" i="3"/>
  <c r="BA18" i="3"/>
  <c r="CK17" i="3"/>
  <c r="CG17" i="3"/>
  <c r="CC17" i="3"/>
  <c r="BY17" i="3"/>
  <c r="BU17" i="3"/>
  <c r="BQ17" i="3"/>
  <c r="BM17" i="3"/>
  <c r="BI17" i="3"/>
  <c r="BE17" i="3"/>
  <c r="BA17" i="3"/>
  <c r="CK16" i="3"/>
  <c r="CG16" i="3"/>
  <c r="CC16" i="3"/>
  <c r="BY16" i="3"/>
  <c r="BU16" i="3"/>
  <c r="BQ16" i="3"/>
  <c r="BM16" i="3"/>
  <c r="BI16" i="3"/>
  <c r="BE16" i="3"/>
  <c r="BA16" i="3"/>
  <c r="CK15" i="3"/>
  <c r="CG15" i="3"/>
  <c r="CC15" i="3"/>
  <c r="BY15" i="3"/>
  <c r="BU15" i="3"/>
  <c r="BQ15" i="3"/>
  <c r="BM15" i="3"/>
  <c r="BI15" i="3"/>
  <c r="BE15" i="3"/>
  <c r="BA15" i="3"/>
  <c r="CK14" i="3"/>
  <c r="CG14" i="3"/>
  <c r="CC14" i="3"/>
  <c r="BY14" i="3"/>
  <c r="BU14" i="3"/>
  <c r="BQ14" i="3"/>
  <c r="BM14" i="3"/>
  <c r="BI14" i="3"/>
  <c r="BE14" i="3"/>
  <c r="BA14" i="3"/>
  <c r="CK13" i="3"/>
  <c r="CG13" i="3"/>
  <c r="CC13" i="3"/>
  <c r="BY13" i="3"/>
  <c r="BU13" i="3"/>
  <c r="BQ13" i="3"/>
  <c r="BM13" i="3"/>
  <c r="BI13" i="3"/>
  <c r="BE13" i="3"/>
  <c r="BA13" i="3"/>
  <c r="CK12" i="3"/>
  <c r="CG12" i="3"/>
  <c r="CC12" i="3"/>
  <c r="BY12" i="3"/>
  <c r="BU12" i="3"/>
  <c r="BQ12" i="3"/>
  <c r="BM12" i="3"/>
  <c r="BI12" i="3"/>
  <c r="BE12" i="3"/>
  <c r="BA12" i="3"/>
  <c r="CK11" i="3"/>
  <c r="CG11" i="3"/>
  <c r="CC11" i="3"/>
  <c r="BY11" i="3"/>
  <c r="BU11" i="3"/>
  <c r="BQ11" i="3"/>
  <c r="BM11" i="3"/>
  <c r="BI11" i="3"/>
  <c r="BE11" i="3"/>
  <c r="BA11" i="3"/>
  <c r="CK10" i="3"/>
  <c r="CG10" i="3"/>
  <c r="CC10" i="3"/>
  <c r="BY10" i="3"/>
  <c r="BU10" i="3"/>
  <c r="BQ10" i="3"/>
  <c r="BM10" i="3"/>
  <c r="BI10" i="3"/>
  <c r="BE10" i="3"/>
  <c r="BA10" i="3"/>
  <c r="CK9" i="3"/>
  <c r="CG9" i="3"/>
  <c r="CC9" i="3"/>
  <c r="BY9" i="3"/>
  <c r="BU9" i="3"/>
  <c r="BQ9" i="3"/>
  <c r="BM9" i="3"/>
  <c r="BI9" i="3"/>
  <c r="BE9" i="3"/>
  <c r="BA9" i="3"/>
  <c r="AW39" i="3"/>
  <c r="AS39" i="3"/>
  <c r="AO39" i="3"/>
  <c r="AK39" i="3"/>
  <c r="AG39" i="3"/>
  <c r="AW37" i="3"/>
  <c r="AS37" i="3"/>
  <c r="AO37" i="3"/>
  <c r="AK37" i="3"/>
  <c r="AG37" i="3"/>
  <c r="AW35" i="3"/>
  <c r="AS35" i="3"/>
  <c r="AO35" i="3"/>
  <c r="AK35" i="3"/>
  <c r="AG35" i="3"/>
  <c r="AW34" i="3"/>
  <c r="AS34" i="3"/>
  <c r="AO34" i="3"/>
  <c r="AK34" i="3"/>
  <c r="AG34" i="3"/>
  <c r="AW32" i="3"/>
  <c r="AS32" i="3"/>
  <c r="AO32" i="3"/>
  <c r="AK32" i="3"/>
  <c r="AG32" i="3"/>
  <c r="AW31" i="3"/>
  <c r="AS31" i="3"/>
  <c r="AO31" i="3"/>
  <c r="AK31" i="3"/>
  <c r="AG31" i="3"/>
  <c r="AW30" i="3"/>
  <c r="AS30" i="3"/>
  <c r="AO30" i="3"/>
  <c r="AK30" i="3"/>
  <c r="AG30" i="3"/>
  <c r="AW29" i="3"/>
  <c r="AS29" i="3"/>
  <c r="AO29" i="3"/>
  <c r="AK29" i="3"/>
  <c r="AG29" i="3"/>
  <c r="AW27" i="3"/>
  <c r="AS27" i="3"/>
  <c r="AO27" i="3"/>
  <c r="AK27" i="3"/>
  <c r="AG27" i="3"/>
  <c r="AW26" i="3"/>
  <c r="AS26" i="3"/>
  <c r="AO26" i="3"/>
  <c r="AK26" i="3"/>
  <c r="AG26" i="3"/>
  <c r="AW25" i="3"/>
  <c r="AS25" i="3"/>
  <c r="AO25" i="3"/>
  <c r="AK25" i="3"/>
  <c r="AG25" i="3"/>
  <c r="AW24" i="3"/>
  <c r="AS24" i="3"/>
  <c r="AO24" i="3"/>
  <c r="AK24" i="3"/>
  <c r="AG24" i="3"/>
  <c r="AW23" i="3"/>
  <c r="AS23" i="3"/>
  <c r="AO23" i="3"/>
  <c r="AK23" i="3"/>
  <c r="AG23" i="3"/>
  <c r="AW22" i="3"/>
  <c r="AS22" i="3"/>
  <c r="AO22" i="3"/>
  <c r="AK22" i="3"/>
  <c r="AG22" i="3"/>
  <c r="AW21" i="3"/>
  <c r="AS21" i="3"/>
  <c r="AO21" i="3"/>
  <c r="AK21" i="3"/>
  <c r="AG21" i="3"/>
  <c r="AW20" i="3"/>
  <c r="AS20" i="3"/>
  <c r="AO20" i="3"/>
  <c r="AK20" i="3"/>
  <c r="AG20" i="3"/>
  <c r="AW18" i="3"/>
  <c r="AS18" i="3"/>
  <c r="AO18" i="3"/>
  <c r="AK18" i="3"/>
  <c r="AG18" i="3"/>
  <c r="AW17" i="3"/>
  <c r="AS17" i="3"/>
  <c r="AO17" i="3"/>
  <c r="AK17" i="3"/>
  <c r="AG17" i="3"/>
  <c r="AW16" i="3"/>
  <c r="AS16" i="3"/>
  <c r="AO16" i="3"/>
  <c r="AK16" i="3"/>
  <c r="AG16" i="3"/>
  <c r="AW15" i="3"/>
  <c r="AS15" i="3"/>
  <c r="AO15" i="3"/>
  <c r="AK15" i="3"/>
  <c r="AG15" i="3"/>
  <c r="AW14" i="3"/>
  <c r="AS14" i="3"/>
  <c r="AO14" i="3"/>
  <c r="AK14" i="3"/>
  <c r="AG14" i="3"/>
  <c r="AW13" i="3"/>
  <c r="AS13" i="3"/>
  <c r="AO13" i="3"/>
  <c r="AK13" i="3"/>
  <c r="AG13" i="3"/>
  <c r="AW12" i="3"/>
  <c r="AS12" i="3"/>
  <c r="AO12" i="3"/>
  <c r="AK12" i="3"/>
  <c r="AG12" i="3"/>
  <c r="AW11" i="3"/>
  <c r="AS11" i="3"/>
  <c r="AO11" i="3"/>
  <c r="AK11" i="3"/>
  <c r="AG11" i="3"/>
  <c r="AW10" i="3"/>
  <c r="AS10" i="3"/>
  <c r="AO10" i="3"/>
  <c r="AK10" i="3"/>
  <c r="AG10" i="3"/>
  <c r="AW9" i="3"/>
  <c r="AS9" i="3"/>
  <c r="AO9" i="3"/>
  <c r="AK9" i="3"/>
  <c r="AG9" i="3"/>
  <c r="M9" i="3"/>
  <c r="Q9" i="3"/>
  <c r="M10" i="3"/>
  <c r="Q10" i="3"/>
  <c r="M11" i="3"/>
  <c r="Q11" i="3"/>
  <c r="M12" i="3"/>
  <c r="Q12" i="3"/>
  <c r="M13" i="3"/>
  <c r="Q13" i="3"/>
  <c r="M14" i="3"/>
  <c r="Q14" i="3"/>
  <c r="M15" i="3"/>
  <c r="Q15" i="3"/>
  <c r="M16" i="3"/>
  <c r="Q16" i="3"/>
  <c r="M17" i="3"/>
  <c r="Q17" i="3"/>
  <c r="M18" i="3"/>
  <c r="Q18" i="3"/>
  <c r="M20" i="3"/>
  <c r="Q20" i="3"/>
  <c r="M21" i="3"/>
  <c r="Q21" i="3"/>
  <c r="M22" i="3"/>
  <c r="Q22" i="3"/>
  <c r="M23" i="3"/>
  <c r="Q23" i="3"/>
  <c r="M24" i="3"/>
  <c r="Q24" i="3"/>
  <c r="M25" i="3"/>
  <c r="Q25" i="3"/>
  <c r="M26" i="3"/>
  <c r="Q26" i="3"/>
  <c r="M27" i="3"/>
  <c r="Q27" i="3"/>
  <c r="M29" i="3"/>
  <c r="Q29" i="3"/>
  <c r="M30" i="3"/>
  <c r="Q30" i="3"/>
  <c r="M31" i="3"/>
  <c r="Q31" i="3"/>
  <c r="M32" i="3"/>
  <c r="Q32" i="3"/>
  <c r="M34" i="3"/>
  <c r="Q34" i="3"/>
  <c r="M35" i="3"/>
  <c r="Q35" i="3"/>
  <c r="M37" i="3"/>
  <c r="Q37" i="3"/>
  <c r="M39" i="3"/>
  <c r="Q39" i="3"/>
  <c r="BU85" i="1"/>
  <c r="BU84" i="1"/>
  <c r="BU83" i="1"/>
  <c r="BU82" i="1"/>
  <c r="BU81" i="1"/>
  <c r="BU80" i="1"/>
  <c r="BU78" i="1"/>
  <c r="BU77" i="1"/>
  <c r="BU76" i="1"/>
  <c r="BU75" i="1"/>
  <c r="BU74" i="1"/>
  <c r="BU73" i="1"/>
  <c r="BU71" i="1"/>
  <c r="BU70" i="1"/>
  <c r="BU69" i="1"/>
  <c r="BU68" i="1"/>
  <c r="BU67" i="1"/>
  <c r="BU66" i="1"/>
  <c r="BU64" i="1"/>
  <c r="BU63" i="1"/>
  <c r="BU62" i="1"/>
  <c r="BU61" i="1"/>
  <c r="BU60" i="1"/>
  <c r="BU59" i="1"/>
  <c r="BU57" i="1"/>
  <c r="BU56" i="1"/>
  <c r="BU55" i="1"/>
  <c r="BU54" i="1"/>
  <c r="BU53" i="1"/>
  <c r="BU52" i="1"/>
  <c r="BU50" i="1"/>
  <c r="BU49" i="1"/>
  <c r="BU48" i="1"/>
  <c r="BU47" i="1"/>
  <c r="BU46" i="1"/>
  <c r="BU45" i="1"/>
  <c r="BU43" i="1"/>
  <c r="BU42" i="1"/>
  <c r="BU41" i="1"/>
  <c r="BU40" i="1"/>
  <c r="BU39" i="1"/>
  <c r="BU38" i="1"/>
  <c r="BU36" i="1"/>
  <c r="BU35" i="1"/>
  <c r="BU34" i="1"/>
  <c r="BU33" i="1"/>
  <c r="BU32" i="1"/>
  <c r="BU31" i="1"/>
  <c r="BU29" i="1"/>
  <c r="BU28" i="1"/>
  <c r="BU27" i="1"/>
  <c r="BU26" i="1"/>
  <c r="BU25" i="1"/>
  <c r="BU24" i="1"/>
  <c r="BU22" i="1"/>
  <c r="BU21" i="1"/>
  <c r="BU20" i="1"/>
  <c r="BU19" i="1"/>
  <c r="BU18" i="1"/>
  <c r="BU17" i="1"/>
  <c r="BU15" i="1"/>
  <c r="BU14" i="1"/>
  <c r="BU13" i="1"/>
  <c r="BU12" i="1"/>
  <c r="BU11" i="1"/>
  <c r="BU10" i="1"/>
  <c r="BU8" i="1"/>
  <c r="BU7" i="1"/>
  <c r="BU6" i="1"/>
  <c r="BU5" i="1"/>
  <c r="BU4" i="1"/>
  <c r="BU3" i="1"/>
  <c r="CO85" i="1"/>
  <c r="CK85" i="1"/>
  <c r="CG85" i="1"/>
  <c r="CC85" i="1"/>
  <c r="BY85" i="1"/>
  <c r="BQ85" i="1"/>
  <c r="BM85" i="1"/>
  <c r="BI85" i="1"/>
  <c r="BE85" i="1"/>
  <c r="BA85" i="1"/>
  <c r="AW85" i="1"/>
  <c r="AS85" i="1"/>
  <c r="AO85" i="1"/>
  <c r="AK85" i="1"/>
  <c r="AG85" i="1"/>
  <c r="AC85" i="1"/>
  <c r="Y85" i="1"/>
  <c r="U85" i="1"/>
  <c r="Q85" i="1"/>
  <c r="M85" i="1"/>
  <c r="CO84" i="1"/>
  <c r="CK84" i="1"/>
  <c r="CG84" i="1"/>
  <c r="CC84" i="1"/>
  <c r="BY84" i="1"/>
  <c r="BQ84" i="1"/>
  <c r="BM84" i="1"/>
  <c r="BI84" i="1"/>
  <c r="BE84" i="1"/>
  <c r="BA84" i="1"/>
  <c r="AW84" i="1"/>
  <c r="AS84" i="1"/>
  <c r="AO84" i="1"/>
  <c r="AK84" i="1"/>
  <c r="AG84" i="1"/>
  <c r="AC84" i="1"/>
  <c r="Y84" i="1"/>
  <c r="U84" i="1"/>
  <c r="Q84" i="1"/>
  <c r="M84" i="1"/>
  <c r="CO83" i="1"/>
  <c r="CK83" i="1"/>
  <c r="CG83" i="1"/>
  <c r="CC83" i="1"/>
  <c r="BY83" i="1"/>
  <c r="BQ83" i="1"/>
  <c r="BM83" i="1"/>
  <c r="BI83" i="1"/>
  <c r="BE83" i="1"/>
  <c r="BA83" i="1"/>
  <c r="AW83" i="1"/>
  <c r="AS83" i="1"/>
  <c r="AO83" i="1"/>
  <c r="AK83" i="1"/>
  <c r="AG83" i="1"/>
  <c r="AC83" i="1"/>
  <c r="Y83" i="1"/>
  <c r="U83" i="1"/>
  <c r="Q83" i="1"/>
  <c r="M83" i="1"/>
  <c r="CO82" i="1"/>
  <c r="CK82" i="1"/>
  <c r="CG82" i="1"/>
  <c r="CC82" i="1"/>
  <c r="BY82" i="1"/>
  <c r="BQ82" i="1"/>
  <c r="BM82" i="1"/>
  <c r="BI82" i="1"/>
  <c r="BE82" i="1"/>
  <c r="BA82" i="1"/>
  <c r="AW82" i="1"/>
  <c r="AS82" i="1"/>
  <c r="AO82" i="1"/>
  <c r="AK82" i="1"/>
  <c r="AG82" i="1"/>
  <c r="AC82" i="1"/>
  <c r="Y82" i="1"/>
  <c r="U82" i="1"/>
  <c r="Q82" i="1"/>
  <c r="M82" i="1"/>
  <c r="CO81" i="1"/>
  <c r="CK81" i="1"/>
  <c r="CG81" i="1"/>
  <c r="CC81" i="1"/>
  <c r="BY81" i="1"/>
  <c r="BQ81" i="1"/>
  <c r="BM81" i="1"/>
  <c r="BI81" i="1"/>
  <c r="BE81" i="1"/>
  <c r="BA81" i="1"/>
  <c r="AW81" i="1"/>
  <c r="AS81" i="1"/>
  <c r="AO81" i="1"/>
  <c r="AK81" i="1"/>
  <c r="AG81" i="1"/>
  <c r="AC81" i="1"/>
  <c r="Y81" i="1"/>
  <c r="U81" i="1"/>
  <c r="Q81" i="1"/>
  <c r="M81" i="1"/>
  <c r="CO80" i="1"/>
  <c r="CK80" i="1"/>
  <c r="CG80" i="1"/>
  <c r="CC80" i="1"/>
  <c r="BY80" i="1"/>
  <c r="BQ80" i="1"/>
  <c r="BM80" i="1"/>
  <c r="BI80" i="1"/>
  <c r="BE80" i="1"/>
  <c r="BA80" i="1"/>
  <c r="AW80" i="1"/>
  <c r="AS80" i="1"/>
  <c r="AO80" i="1"/>
  <c r="AK80" i="1"/>
  <c r="AG80" i="1"/>
  <c r="AC80" i="1"/>
  <c r="Y80" i="1"/>
  <c r="U80" i="1"/>
  <c r="Q80" i="1"/>
  <c r="M80" i="1"/>
  <c r="CS78" i="1"/>
  <c r="CO78" i="1"/>
  <c r="CK78" i="1"/>
  <c r="CG78" i="1"/>
  <c r="CC78" i="1"/>
  <c r="BY78" i="1"/>
  <c r="BQ78" i="1"/>
  <c r="BM78" i="1"/>
  <c r="BI78" i="1"/>
  <c r="BE78" i="1"/>
  <c r="BA78" i="1"/>
  <c r="AW78" i="1"/>
  <c r="AS78" i="1"/>
  <c r="AO78" i="1"/>
  <c r="AK78" i="1"/>
  <c r="AG78" i="1"/>
  <c r="AC78" i="1"/>
  <c r="Y78" i="1"/>
  <c r="U78" i="1"/>
  <c r="Q78" i="1"/>
  <c r="M78" i="1"/>
  <c r="CS77" i="1"/>
  <c r="CO77" i="1"/>
  <c r="CK77" i="1"/>
  <c r="CG77" i="1"/>
  <c r="CC77" i="1"/>
  <c r="BY77" i="1"/>
  <c r="BQ77" i="1"/>
  <c r="BM77" i="1"/>
  <c r="BI77" i="1"/>
  <c r="BE77" i="1"/>
  <c r="BA77" i="1"/>
  <c r="AW77" i="1"/>
  <c r="AS77" i="1"/>
  <c r="AO77" i="1"/>
  <c r="AK77" i="1"/>
  <c r="AG77" i="1"/>
  <c r="AC77" i="1"/>
  <c r="Y77" i="1"/>
  <c r="U77" i="1"/>
  <c r="Q77" i="1"/>
  <c r="M77" i="1"/>
  <c r="CS76" i="1"/>
  <c r="CO76" i="1"/>
  <c r="CK76" i="1"/>
  <c r="CG76" i="1"/>
  <c r="CC76" i="1"/>
  <c r="BY76" i="1"/>
  <c r="BQ76" i="1"/>
  <c r="BM76" i="1"/>
  <c r="BI76" i="1"/>
  <c r="BE76" i="1"/>
  <c r="BA76" i="1"/>
  <c r="AW76" i="1"/>
  <c r="AS76" i="1"/>
  <c r="AO76" i="1"/>
  <c r="AK76" i="1"/>
  <c r="AG76" i="1"/>
  <c r="AC76" i="1"/>
  <c r="Y76" i="1"/>
  <c r="U76" i="1"/>
  <c r="Q76" i="1"/>
  <c r="M76" i="1"/>
  <c r="CS75" i="1"/>
  <c r="CO75" i="1"/>
  <c r="CK75" i="1"/>
  <c r="CG75" i="1"/>
  <c r="CC75" i="1"/>
  <c r="BY75" i="1"/>
  <c r="BQ75" i="1"/>
  <c r="BM75" i="1"/>
  <c r="BI75" i="1"/>
  <c r="BE75" i="1"/>
  <c r="BA75" i="1"/>
  <c r="AW75" i="1"/>
  <c r="AS75" i="1"/>
  <c r="AO75" i="1"/>
  <c r="AK75" i="1"/>
  <c r="AG75" i="1"/>
  <c r="AC75" i="1"/>
  <c r="Y75" i="1"/>
  <c r="U75" i="1"/>
  <c r="Q75" i="1"/>
  <c r="M75" i="1"/>
  <c r="CS74" i="1"/>
  <c r="CO74" i="1"/>
  <c r="CK74" i="1"/>
  <c r="CG74" i="1"/>
  <c r="CC74" i="1"/>
  <c r="BY74" i="1"/>
  <c r="BQ74" i="1"/>
  <c r="BM74" i="1"/>
  <c r="BI74" i="1"/>
  <c r="BE74" i="1"/>
  <c r="BA74" i="1"/>
  <c r="AW74" i="1"/>
  <c r="AS74" i="1"/>
  <c r="AO74" i="1"/>
  <c r="AK74" i="1"/>
  <c r="AG74" i="1"/>
  <c r="AC74" i="1"/>
  <c r="Y74" i="1"/>
  <c r="U74" i="1"/>
  <c r="Q74" i="1"/>
  <c r="M74" i="1"/>
  <c r="CS73" i="1"/>
  <c r="CO73" i="1"/>
  <c r="CK73" i="1"/>
  <c r="CG73" i="1"/>
  <c r="CC73" i="1"/>
  <c r="BY73" i="1"/>
  <c r="BQ73" i="1"/>
  <c r="BM73" i="1"/>
  <c r="BI73" i="1"/>
  <c r="BE73" i="1"/>
  <c r="BA73" i="1"/>
  <c r="AW73" i="1"/>
  <c r="AS73" i="1"/>
  <c r="AO73" i="1"/>
  <c r="AK73" i="1"/>
  <c r="AG73" i="1"/>
  <c r="AC73" i="1"/>
  <c r="Y73" i="1"/>
  <c r="U73" i="1"/>
  <c r="Q73" i="1"/>
  <c r="M73" i="1"/>
  <c r="CS71" i="1"/>
  <c r="CO71" i="1"/>
  <c r="CK71" i="1"/>
  <c r="CG71" i="1"/>
  <c r="CC71" i="1"/>
  <c r="BY71" i="1"/>
  <c r="BQ71" i="1"/>
  <c r="BM71" i="1"/>
  <c r="BI71" i="1"/>
  <c r="BE71" i="1"/>
  <c r="BA71" i="1"/>
  <c r="AW71" i="1"/>
  <c r="AS71" i="1"/>
  <c r="AO71" i="1"/>
  <c r="AK71" i="1"/>
  <c r="AG71" i="1"/>
  <c r="AC71" i="1"/>
  <c r="Y71" i="1"/>
  <c r="U71" i="1"/>
  <c r="Q71" i="1"/>
  <c r="M71" i="1"/>
  <c r="CS70" i="1"/>
  <c r="CO70" i="1"/>
  <c r="CK70" i="1"/>
  <c r="CG70" i="1"/>
  <c r="CC70" i="1"/>
  <c r="BY70" i="1"/>
  <c r="BQ70" i="1"/>
  <c r="BM70" i="1"/>
  <c r="BI70" i="1"/>
  <c r="BE70" i="1"/>
  <c r="BA70" i="1"/>
  <c r="AW70" i="1"/>
  <c r="AS70" i="1"/>
  <c r="AO70" i="1"/>
  <c r="AK70" i="1"/>
  <c r="AG70" i="1"/>
  <c r="AC70" i="1"/>
  <c r="Y70" i="1"/>
  <c r="U70" i="1"/>
  <c r="Q70" i="1"/>
  <c r="M70" i="1"/>
  <c r="CS69" i="1"/>
  <c r="CO69" i="1"/>
  <c r="CK69" i="1"/>
  <c r="CG69" i="1"/>
  <c r="CC69" i="1"/>
  <c r="BY69" i="1"/>
  <c r="BQ69" i="1"/>
  <c r="BM69" i="1"/>
  <c r="BI69" i="1"/>
  <c r="BE69" i="1"/>
  <c r="BA69" i="1"/>
  <c r="AW69" i="1"/>
  <c r="AS69" i="1"/>
  <c r="AO69" i="1"/>
  <c r="AK69" i="1"/>
  <c r="AG69" i="1"/>
  <c r="AC69" i="1"/>
  <c r="Y69" i="1"/>
  <c r="U69" i="1"/>
  <c r="Q69" i="1"/>
  <c r="M69" i="1"/>
  <c r="CS68" i="1"/>
  <c r="CO68" i="1"/>
  <c r="CK68" i="1"/>
  <c r="CG68" i="1"/>
  <c r="CC68" i="1"/>
  <c r="BY68" i="1"/>
  <c r="BQ68" i="1"/>
  <c r="BM68" i="1"/>
  <c r="BI68" i="1"/>
  <c r="BE68" i="1"/>
  <c r="BA68" i="1"/>
  <c r="AW68" i="1"/>
  <c r="AS68" i="1"/>
  <c r="AO68" i="1"/>
  <c r="AK68" i="1"/>
  <c r="AG68" i="1"/>
  <c r="AC68" i="1"/>
  <c r="Y68" i="1"/>
  <c r="U68" i="1"/>
  <c r="Q68" i="1"/>
  <c r="M68" i="1"/>
  <c r="CS67" i="1"/>
  <c r="CO67" i="1"/>
  <c r="CK67" i="1"/>
  <c r="CG67" i="1"/>
  <c r="CC67" i="1"/>
  <c r="BY67" i="1"/>
  <c r="BQ67" i="1"/>
  <c r="BM67" i="1"/>
  <c r="BI67" i="1"/>
  <c r="BE67" i="1"/>
  <c r="BA67" i="1"/>
  <c r="AW67" i="1"/>
  <c r="AS67" i="1"/>
  <c r="AO67" i="1"/>
  <c r="AK67" i="1"/>
  <c r="AG67" i="1"/>
  <c r="AC67" i="1"/>
  <c r="Y67" i="1"/>
  <c r="U67" i="1"/>
  <c r="Q67" i="1"/>
  <c r="M67" i="1"/>
  <c r="CS66" i="1"/>
  <c r="CO66" i="1"/>
  <c r="CK66" i="1"/>
  <c r="CG66" i="1"/>
  <c r="CC66" i="1"/>
  <c r="BY66" i="1"/>
  <c r="BQ66" i="1"/>
  <c r="BM66" i="1"/>
  <c r="BI66" i="1"/>
  <c r="BE66" i="1"/>
  <c r="BA66" i="1"/>
  <c r="AW66" i="1"/>
  <c r="AS66" i="1"/>
  <c r="AO66" i="1"/>
  <c r="AK66" i="1"/>
  <c r="AG66" i="1"/>
  <c r="AC66" i="1"/>
  <c r="Y66" i="1"/>
  <c r="U66" i="1"/>
  <c r="Q66" i="1"/>
  <c r="M66" i="1"/>
  <c r="CS64" i="1"/>
  <c r="CO64" i="1"/>
  <c r="CK64" i="1"/>
  <c r="CG64" i="1"/>
  <c r="CC64" i="1"/>
  <c r="BY64" i="1"/>
  <c r="BQ64" i="1"/>
  <c r="BM64" i="1"/>
  <c r="BI64" i="1"/>
  <c r="BE64" i="1"/>
  <c r="BA64" i="1"/>
  <c r="AW64" i="1"/>
  <c r="AS64" i="1"/>
  <c r="AO64" i="1"/>
  <c r="AK64" i="1"/>
  <c r="AG64" i="1"/>
  <c r="AC64" i="1"/>
  <c r="Y64" i="1"/>
  <c r="U64" i="1"/>
  <c r="Q64" i="1"/>
  <c r="M64" i="1"/>
  <c r="CS63" i="1"/>
  <c r="CO63" i="1"/>
  <c r="CK63" i="1"/>
  <c r="CG63" i="1"/>
  <c r="CC63" i="1"/>
  <c r="BY63" i="1"/>
  <c r="BQ63" i="1"/>
  <c r="BM63" i="1"/>
  <c r="BI63" i="1"/>
  <c r="BE63" i="1"/>
  <c r="BA63" i="1"/>
  <c r="AW63" i="1"/>
  <c r="AS63" i="1"/>
  <c r="AO63" i="1"/>
  <c r="AK63" i="1"/>
  <c r="AG63" i="1"/>
  <c r="AC63" i="1"/>
  <c r="Y63" i="1"/>
  <c r="U63" i="1"/>
  <c r="Q63" i="1"/>
  <c r="M63" i="1"/>
  <c r="CS62" i="1"/>
  <c r="CO62" i="1"/>
  <c r="CK62" i="1"/>
  <c r="CG62" i="1"/>
  <c r="CC62" i="1"/>
  <c r="BY62" i="1"/>
  <c r="BQ62" i="1"/>
  <c r="BM62" i="1"/>
  <c r="BI62" i="1"/>
  <c r="BE62" i="1"/>
  <c r="BA62" i="1"/>
  <c r="AW62" i="1"/>
  <c r="AS62" i="1"/>
  <c r="AO62" i="1"/>
  <c r="AK62" i="1"/>
  <c r="AG62" i="1"/>
  <c r="AC62" i="1"/>
  <c r="Y62" i="1"/>
  <c r="U62" i="1"/>
  <c r="Q62" i="1"/>
  <c r="M62" i="1"/>
  <c r="CS61" i="1"/>
  <c r="CO61" i="1"/>
  <c r="CK61" i="1"/>
  <c r="CG61" i="1"/>
  <c r="CC61" i="1"/>
  <c r="BY61" i="1"/>
  <c r="BQ61" i="1"/>
  <c r="BM61" i="1"/>
  <c r="BI61" i="1"/>
  <c r="BE61" i="1"/>
  <c r="BA61" i="1"/>
  <c r="AW61" i="1"/>
  <c r="AS61" i="1"/>
  <c r="AO61" i="1"/>
  <c r="AK61" i="1"/>
  <c r="AG61" i="1"/>
  <c r="AC61" i="1"/>
  <c r="Y61" i="1"/>
  <c r="U61" i="1"/>
  <c r="Q61" i="1"/>
  <c r="M61" i="1"/>
  <c r="CS60" i="1"/>
  <c r="CO60" i="1"/>
  <c r="CK60" i="1"/>
  <c r="CG60" i="1"/>
  <c r="CC60" i="1"/>
  <c r="BY60" i="1"/>
  <c r="BQ60" i="1"/>
  <c r="BM60" i="1"/>
  <c r="BI60" i="1"/>
  <c r="BE60" i="1"/>
  <c r="BA60" i="1"/>
  <c r="AW60" i="1"/>
  <c r="AS60" i="1"/>
  <c r="AO60" i="1"/>
  <c r="AK60" i="1"/>
  <c r="AG60" i="1"/>
  <c r="AC60" i="1"/>
  <c r="Y60" i="1"/>
  <c r="U60" i="1"/>
  <c r="Q60" i="1"/>
  <c r="M60" i="1"/>
  <c r="CS59" i="1"/>
  <c r="CO59" i="1"/>
  <c r="CK59" i="1"/>
  <c r="CG59" i="1"/>
  <c r="CC59" i="1"/>
  <c r="BY59" i="1"/>
  <c r="BQ59" i="1"/>
  <c r="BM59" i="1"/>
  <c r="BI59" i="1"/>
  <c r="BE59" i="1"/>
  <c r="BA59" i="1"/>
  <c r="AW59" i="1"/>
  <c r="AS59" i="1"/>
  <c r="AO59" i="1"/>
  <c r="AK59" i="1"/>
  <c r="AG59" i="1"/>
  <c r="AC59" i="1"/>
  <c r="Y59" i="1"/>
  <c r="U59" i="1"/>
  <c r="Q59" i="1"/>
  <c r="M59" i="1"/>
  <c r="CS57" i="1"/>
  <c r="CO57" i="1"/>
  <c r="CK57" i="1"/>
  <c r="CG57" i="1"/>
  <c r="CC57" i="1"/>
  <c r="BY57" i="1"/>
  <c r="BQ57" i="1"/>
  <c r="BM57" i="1"/>
  <c r="BI57" i="1"/>
  <c r="BE57" i="1"/>
  <c r="BA57" i="1"/>
  <c r="AW57" i="1"/>
  <c r="AS57" i="1"/>
  <c r="AO57" i="1"/>
  <c r="AK57" i="1"/>
  <c r="AG57" i="1"/>
  <c r="AC57" i="1"/>
  <c r="Y57" i="1"/>
  <c r="U57" i="1"/>
  <c r="Q57" i="1"/>
  <c r="M57" i="1"/>
  <c r="CS56" i="1"/>
  <c r="CO56" i="1"/>
  <c r="CK56" i="1"/>
  <c r="CG56" i="1"/>
  <c r="CC56" i="1"/>
  <c r="BY56" i="1"/>
  <c r="BQ56" i="1"/>
  <c r="BM56" i="1"/>
  <c r="BI56" i="1"/>
  <c r="BE56" i="1"/>
  <c r="BA56" i="1"/>
  <c r="AW56" i="1"/>
  <c r="AS56" i="1"/>
  <c r="AO56" i="1"/>
  <c r="AK56" i="1"/>
  <c r="AG56" i="1"/>
  <c r="AC56" i="1"/>
  <c r="Y56" i="1"/>
  <c r="U56" i="1"/>
  <c r="Q56" i="1"/>
  <c r="M56" i="1"/>
  <c r="CS55" i="1"/>
  <c r="CO55" i="1"/>
  <c r="CK55" i="1"/>
  <c r="CG55" i="1"/>
  <c r="CC55" i="1"/>
  <c r="BY55" i="1"/>
  <c r="BQ55" i="1"/>
  <c r="BM55" i="1"/>
  <c r="BI55" i="1"/>
  <c r="BE55" i="1"/>
  <c r="BA55" i="1"/>
  <c r="AW55" i="1"/>
  <c r="AS55" i="1"/>
  <c r="AO55" i="1"/>
  <c r="AK55" i="1"/>
  <c r="AG55" i="1"/>
  <c r="AC55" i="1"/>
  <c r="Y55" i="1"/>
  <c r="U55" i="1"/>
  <c r="Q55" i="1"/>
  <c r="M55" i="1"/>
  <c r="CS54" i="1"/>
  <c r="CO54" i="1"/>
  <c r="CK54" i="1"/>
  <c r="CG54" i="1"/>
  <c r="CC54" i="1"/>
  <c r="BY54" i="1"/>
  <c r="BQ54" i="1"/>
  <c r="BM54" i="1"/>
  <c r="BI54" i="1"/>
  <c r="BE54" i="1"/>
  <c r="BA54" i="1"/>
  <c r="AW54" i="1"/>
  <c r="AS54" i="1"/>
  <c r="AO54" i="1"/>
  <c r="AK54" i="1"/>
  <c r="AG54" i="1"/>
  <c r="AC54" i="1"/>
  <c r="Y54" i="1"/>
  <c r="U54" i="1"/>
  <c r="Q54" i="1"/>
  <c r="M54" i="1"/>
  <c r="CS53" i="1"/>
  <c r="CO53" i="1"/>
  <c r="CK53" i="1"/>
  <c r="CG53" i="1"/>
  <c r="CC53" i="1"/>
  <c r="BY53" i="1"/>
  <c r="BQ53" i="1"/>
  <c r="BM53" i="1"/>
  <c r="BI53" i="1"/>
  <c r="BE53" i="1"/>
  <c r="BA53" i="1"/>
  <c r="AW53" i="1"/>
  <c r="AS53" i="1"/>
  <c r="AO53" i="1"/>
  <c r="AK53" i="1"/>
  <c r="AG53" i="1"/>
  <c r="AC53" i="1"/>
  <c r="Y53" i="1"/>
  <c r="U53" i="1"/>
  <c r="Q53" i="1"/>
  <c r="M53" i="1"/>
  <c r="CS52" i="1"/>
  <c r="CO52" i="1"/>
  <c r="CK52" i="1"/>
  <c r="CG52" i="1"/>
  <c r="CC52" i="1"/>
  <c r="BY52" i="1"/>
  <c r="BQ52" i="1"/>
  <c r="BM52" i="1"/>
  <c r="BI52" i="1"/>
  <c r="BE52" i="1"/>
  <c r="BA52" i="1"/>
  <c r="AW52" i="1"/>
  <c r="AS52" i="1"/>
  <c r="AO52" i="1"/>
  <c r="AK52" i="1"/>
  <c r="AG52" i="1"/>
  <c r="AC52" i="1"/>
  <c r="Y52" i="1"/>
  <c r="U52" i="1"/>
  <c r="Q52" i="1"/>
  <c r="M52" i="1"/>
  <c r="CS50" i="1"/>
  <c r="CO50" i="1"/>
  <c r="CK50" i="1"/>
  <c r="CG50" i="1"/>
  <c r="CC50" i="1"/>
  <c r="BY50" i="1"/>
  <c r="BQ50" i="1"/>
  <c r="BM50" i="1"/>
  <c r="BI50" i="1"/>
  <c r="BE50" i="1"/>
  <c r="BA50" i="1"/>
  <c r="AW50" i="1"/>
  <c r="AS50" i="1"/>
  <c r="AO50" i="1"/>
  <c r="AK50" i="1"/>
  <c r="AG50" i="1"/>
  <c r="AC50" i="1"/>
  <c r="Y50" i="1"/>
  <c r="U50" i="1"/>
  <c r="Q50" i="1"/>
  <c r="M50" i="1"/>
  <c r="CS49" i="1"/>
  <c r="CO49" i="1"/>
  <c r="CK49" i="1"/>
  <c r="CG49" i="1"/>
  <c r="CC49" i="1"/>
  <c r="BY49" i="1"/>
  <c r="BQ49" i="1"/>
  <c r="BM49" i="1"/>
  <c r="BI49" i="1"/>
  <c r="BE49" i="1"/>
  <c r="BA49" i="1"/>
  <c r="AW49" i="1"/>
  <c r="AS49" i="1"/>
  <c r="AO49" i="1"/>
  <c r="AK49" i="1"/>
  <c r="AG49" i="1"/>
  <c r="AC49" i="1"/>
  <c r="Y49" i="1"/>
  <c r="U49" i="1"/>
  <c r="Q49" i="1"/>
  <c r="M49" i="1"/>
  <c r="CS48" i="1"/>
  <c r="CO48" i="1"/>
  <c r="CK48" i="1"/>
  <c r="CG48" i="1"/>
  <c r="CC48" i="1"/>
  <c r="BY48" i="1"/>
  <c r="BQ48" i="1"/>
  <c r="BM48" i="1"/>
  <c r="BI48" i="1"/>
  <c r="BE48" i="1"/>
  <c r="BA48" i="1"/>
  <c r="AW48" i="1"/>
  <c r="AS48" i="1"/>
  <c r="AO48" i="1"/>
  <c r="AK48" i="1"/>
  <c r="AG48" i="1"/>
  <c r="AC48" i="1"/>
  <c r="Y48" i="1"/>
  <c r="U48" i="1"/>
  <c r="Q48" i="1"/>
  <c r="M48" i="1"/>
  <c r="CS47" i="1"/>
  <c r="CO47" i="1"/>
  <c r="CK47" i="1"/>
  <c r="CG47" i="1"/>
  <c r="CC47" i="1"/>
  <c r="BY47" i="1"/>
  <c r="BQ47" i="1"/>
  <c r="BM47" i="1"/>
  <c r="BI47" i="1"/>
  <c r="BE47" i="1"/>
  <c r="BA47" i="1"/>
  <c r="AW47" i="1"/>
  <c r="AS47" i="1"/>
  <c r="AO47" i="1"/>
  <c r="AK47" i="1"/>
  <c r="AG47" i="1"/>
  <c r="AC47" i="1"/>
  <c r="Y47" i="1"/>
  <c r="U47" i="1"/>
  <c r="Q47" i="1"/>
  <c r="M47" i="1"/>
  <c r="CS46" i="1"/>
  <c r="CO46" i="1"/>
  <c r="CK46" i="1"/>
  <c r="CG46" i="1"/>
  <c r="CC46" i="1"/>
  <c r="BY46" i="1"/>
  <c r="BQ46" i="1"/>
  <c r="BM46" i="1"/>
  <c r="BI46" i="1"/>
  <c r="BE46" i="1"/>
  <c r="BA46" i="1"/>
  <c r="AW46" i="1"/>
  <c r="AS46" i="1"/>
  <c r="AO46" i="1"/>
  <c r="AK46" i="1"/>
  <c r="AG46" i="1"/>
  <c r="AC46" i="1"/>
  <c r="Y46" i="1"/>
  <c r="U46" i="1"/>
  <c r="Q46" i="1"/>
  <c r="M46" i="1"/>
  <c r="CS45" i="1"/>
  <c r="CO45" i="1"/>
  <c r="CK45" i="1"/>
  <c r="CG45" i="1"/>
  <c r="CC45" i="1"/>
  <c r="BY45" i="1"/>
  <c r="BQ45" i="1"/>
  <c r="BM45" i="1"/>
  <c r="BI45" i="1"/>
  <c r="BE45" i="1"/>
  <c r="BA45" i="1"/>
  <c r="AW45" i="1"/>
  <c r="AS45" i="1"/>
  <c r="AO45" i="1"/>
  <c r="AK45" i="1"/>
  <c r="AG45" i="1"/>
  <c r="AC45" i="1"/>
  <c r="Y45" i="1"/>
  <c r="U45" i="1"/>
  <c r="Q45" i="1"/>
  <c r="M45" i="1"/>
  <c r="CS43" i="1"/>
  <c r="CO43" i="1"/>
  <c r="CK43" i="1"/>
  <c r="CG43" i="1"/>
  <c r="CC43" i="1"/>
  <c r="BY43" i="1"/>
  <c r="BQ43" i="1"/>
  <c r="BM43" i="1"/>
  <c r="BI43" i="1"/>
  <c r="BE43" i="1"/>
  <c r="BA43" i="1"/>
  <c r="AW43" i="1"/>
  <c r="AS43" i="1"/>
  <c r="AO43" i="1"/>
  <c r="AK43" i="1"/>
  <c r="AG43" i="1"/>
  <c r="AC43" i="1"/>
  <c r="Y43" i="1"/>
  <c r="U43" i="1"/>
  <c r="Q43" i="1"/>
  <c r="M43" i="1"/>
  <c r="CS42" i="1"/>
  <c r="CO42" i="1"/>
  <c r="CK42" i="1"/>
  <c r="CG42" i="1"/>
  <c r="CC42" i="1"/>
  <c r="BY42" i="1"/>
  <c r="BQ42" i="1"/>
  <c r="BM42" i="1"/>
  <c r="BI42" i="1"/>
  <c r="BE42" i="1"/>
  <c r="BA42" i="1"/>
  <c r="AW42" i="1"/>
  <c r="AS42" i="1"/>
  <c r="AO42" i="1"/>
  <c r="AK42" i="1"/>
  <c r="AG42" i="1"/>
  <c r="AC42" i="1"/>
  <c r="Y42" i="1"/>
  <c r="U42" i="1"/>
  <c r="Q42" i="1"/>
  <c r="M42" i="1"/>
  <c r="CS41" i="1"/>
  <c r="CO41" i="1"/>
  <c r="CK41" i="1"/>
  <c r="CG41" i="1"/>
  <c r="CC41" i="1"/>
  <c r="BY41" i="1"/>
  <c r="BQ41" i="1"/>
  <c r="BM41" i="1"/>
  <c r="BI41" i="1"/>
  <c r="BE41" i="1"/>
  <c r="BA41" i="1"/>
  <c r="AW41" i="1"/>
  <c r="AS41" i="1"/>
  <c r="AO41" i="1"/>
  <c r="AK41" i="1"/>
  <c r="AG41" i="1"/>
  <c r="AC41" i="1"/>
  <c r="Y41" i="1"/>
  <c r="U41" i="1"/>
  <c r="Q41" i="1"/>
  <c r="M41" i="1"/>
  <c r="CS40" i="1"/>
  <c r="CO40" i="1"/>
  <c r="CK40" i="1"/>
  <c r="CG40" i="1"/>
  <c r="CC40" i="1"/>
  <c r="BY40" i="1"/>
  <c r="BQ40" i="1"/>
  <c r="BM40" i="1"/>
  <c r="BI40" i="1"/>
  <c r="BE40" i="1"/>
  <c r="BA40" i="1"/>
  <c r="AW40" i="1"/>
  <c r="AS40" i="1"/>
  <c r="AO40" i="1"/>
  <c r="AK40" i="1"/>
  <c r="AG40" i="1"/>
  <c r="AC40" i="1"/>
  <c r="Y40" i="1"/>
  <c r="U40" i="1"/>
  <c r="Q40" i="1"/>
  <c r="M40" i="1"/>
  <c r="CS39" i="1"/>
  <c r="CO39" i="1"/>
  <c r="CK39" i="1"/>
  <c r="CG39" i="1"/>
  <c r="CC39" i="1"/>
  <c r="BY39" i="1"/>
  <c r="BQ39" i="1"/>
  <c r="BM39" i="1"/>
  <c r="BI39" i="1"/>
  <c r="BE39" i="1"/>
  <c r="BA39" i="1"/>
  <c r="AW39" i="1"/>
  <c r="AS39" i="1"/>
  <c r="AO39" i="1"/>
  <c r="AK39" i="1"/>
  <c r="AG39" i="1"/>
  <c r="AC39" i="1"/>
  <c r="Y39" i="1"/>
  <c r="U39" i="1"/>
  <c r="Q39" i="1"/>
  <c r="M39" i="1"/>
  <c r="CS38" i="1"/>
  <c r="CO38" i="1"/>
  <c r="CK38" i="1"/>
  <c r="CG38" i="1"/>
  <c r="CC38" i="1"/>
  <c r="BY38" i="1"/>
  <c r="BQ38" i="1"/>
  <c r="BM38" i="1"/>
  <c r="BI38" i="1"/>
  <c r="BE38" i="1"/>
  <c r="BA38" i="1"/>
  <c r="AW38" i="1"/>
  <c r="AS38" i="1"/>
  <c r="AO38" i="1"/>
  <c r="AK38" i="1"/>
  <c r="AG38" i="1"/>
  <c r="AC38" i="1"/>
  <c r="Y38" i="1"/>
  <c r="U38" i="1"/>
  <c r="Q38" i="1"/>
  <c r="M38" i="1"/>
  <c r="CS36" i="1"/>
  <c r="CO36" i="1"/>
  <c r="CK36" i="1"/>
  <c r="CG36" i="1"/>
  <c r="CC36" i="1"/>
  <c r="BY36" i="1"/>
  <c r="BQ36" i="1"/>
  <c r="BM36" i="1"/>
  <c r="BI36" i="1"/>
  <c r="BE36" i="1"/>
  <c r="BA36" i="1"/>
  <c r="AW36" i="1"/>
  <c r="AS36" i="1"/>
  <c r="AO36" i="1"/>
  <c r="AK36" i="1"/>
  <c r="AG36" i="1"/>
  <c r="AC36" i="1"/>
  <c r="Y36" i="1"/>
  <c r="U36" i="1"/>
  <c r="Q36" i="1"/>
  <c r="M36" i="1"/>
  <c r="CS35" i="1"/>
  <c r="CO35" i="1"/>
  <c r="CK35" i="1"/>
  <c r="CG35" i="1"/>
  <c r="CC35" i="1"/>
  <c r="BY35" i="1"/>
  <c r="BQ35" i="1"/>
  <c r="BM35" i="1"/>
  <c r="BI35" i="1"/>
  <c r="BE35" i="1"/>
  <c r="BA35" i="1"/>
  <c r="AW35" i="1"/>
  <c r="AS35" i="1"/>
  <c r="AO35" i="1"/>
  <c r="AK35" i="1"/>
  <c r="AG35" i="1"/>
  <c r="AC35" i="1"/>
  <c r="Y35" i="1"/>
  <c r="U35" i="1"/>
  <c r="Q35" i="1"/>
  <c r="M35" i="1"/>
  <c r="CS34" i="1"/>
  <c r="CO34" i="1"/>
  <c r="CK34" i="1"/>
  <c r="CG34" i="1"/>
  <c r="CC34" i="1"/>
  <c r="BY34" i="1"/>
  <c r="BQ34" i="1"/>
  <c r="BM34" i="1"/>
  <c r="BI34" i="1"/>
  <c r="BE34" i="1"/>
  <c r="BA34" i="1"/>
  <c r="AW34" i="1"/>
  <c r="AS34" i="1"/>
  <c r="AO34" i="1"/>
  <c r="AK34" i="1"/>
  <c r="AG34" i="1"/>
  <c r="AC34" i="1"/>
  <c r="Y34" i="1"/>
  <c r="U34" i="1"/>
  <c r="Q34" i="1"/>
  <c r="M34" i="1"/>
  <c r="CS33" i="1"/>
  <c r="CO33" i="1"/>
  <c r="CK33" i="1"/>
  <c r="CG33" i="1"/>
  <c r="CC33" i="1"/>
  <c r="BY33" i="1"/>
  <c r="BQ33" i="1"/>
  <c r="BM33" i="1"/>
  <c r="BI33" i="1"/>
  <c r="BE33" i="1"/>
  <c r="BA33" i="1"/>
  <c r="AW33" i="1"/>
  <c r="AS33" i="1"/>
  <c r="AO33" i="1"/>
  <c r="AK33" i="1"/>
  <c r="AG33" i="1"/>
  <c r="AC33" i="1"/>
  <c r="Y33" i="1"/>
  <c r="U33" i="1"/>
  <c r="Q33" i="1"/>
  <c r="M33" i="1"/>
  <c r="CS32" i="1"/>
  <c r="CO32" i="1"/>
  <c r="CK32" i="1"/>
  <c r="CG32" i="1"/>
  <c r="CC32" i="1"/>
  <c r="BY32" i="1"/>
  <c r="BQ32" i="1"/>
  <c r="BM32" i="1"/>
  <c r="BI32" i="1"/>
  <c r="BE32" i="1"/>
  <c r="BA32" i="1"/>
  <c r="AW32" i="1"/>
  <c r="AS32" i="1"/>
  <c r="AO32" i="1"/>
  <c r="AK32" i="1"/>
  <c r="AG32" i="1"/>
  <c r="AC32" i="1"/>
  <c r="Y32" i="1"/>
  <c r="U32" i="1"/>
  <c r="Q32" i="1"/>
  <c r="M32" i="1"/>
  <c r="CS31" i="1"/>
  <c r="CO31" i="1"/>
  <c r="CK31" i="1"/>
  <c r="CG31" i="1"/>
  <c r="CC31" i="1"/>
  <c r="BY31" i="1"/>
  <c r="BQ31" i="1"/>
  <c r="BM31" i="1"/>
  <c r="BI31" i="1"/>
  <c r="BE31" i="1"/>
  <c r="BA31" i="1"/>
  <c r="AW31" i="1"/>
  <c r="AS31" i="1"/>
  <c r="AO31" i="1"/>
  <c r="AK31" i="1"/>
  <c r="AG31" i="1"/>
  <c r="AC31" i="1"/>
  <c r="Y31" i="1"/>
  <c r="U31" i="1"/>
  <c r="Q31" i="1"/>
  <c r="M31" i="1"/>
  <c r="CS29" i="1"/>
  <c r="CO29" i="1"/>
  <c r="CK29" i="1"/>
  <c r="CG29" i="1"/>
  <c r="CC29" i="1"/>
  <c r="BY29" i="1"/>
  <c r="BQ29" i="1"/>
  <c r="BM29" i="1"/>
  <c r="BI29" i="1"/>
  <c r="BE29" i="1"/>
  <c r="BA29" i="1"/>
  <c r="AW29" i="1"/>
  <c r="AS29" i="1"/>
  <c r="AO29" i="1"/>
  <c r="AK29" i="1"/>
  <c r="AG29" i="1"/>
  <c r="AC29" i="1"/>
  <c r="Y29" i="1"/>
  <c r="U29" i="1"/>
  <c r="Q29" i="1"/>
  <c r="M29" i="1"/>
  <c r="CS28" i="1"/>
  <c r="CO28" i="1"/>
  <c r="CK28" i="1"/>
  <c r="CG28" i="1"/>
  <c r="CC28" i="1"/>
  <c r="BY28" i="1"/>
  <c r="BQ28" i="1"/>
  <c r="BM28" i="1"/>
  <c r="BI28" i="1"/>
  <c r="BE28" i="1"/>
  <c r="BA28" i="1"/>
  <c r="AW28" i="1"/>
  <c r="AS28" i="1"/>
  <c r="AO28" i="1"/>
  <c r="AK28" i="1"/>
  <c r="AG28" i="1"/>
  <c r="AC28" i="1"/>
  <c r="Y28" i="1"/>
  <c r="U28" i="1"/>
  <c r="Q28" i="1"/>
  <c r="M28" i="1"/>
  <c r="CS27" i="1"/>
  <c r="CO27" i="1"/>
  <c r="CK27" i="1"/>
  <c r="CG27" i="1"/>
  <c r="CC27" i="1"/>
  <c r="BY27" i="1"/>
  <c r="BQ27" i="1"/>
  <c r="BM27" i="1"/>
  <c r="BI27" i="1"/>
  <c r="BE27" i="1"/>
  <c r="BA27" i="1"/>
  <c r="AW27" i="1"/>
  <c r="AS27" i="1"/>
  <c r="AO27" i="1"/>
  <c r="AK27" i="1"/>
  <c r="AG27" i="1"/>
  <c r="AC27" i="1"/>
  <c r="Y27" i="1"/>
  <c r="U27" i="1"/>
  <c r="Q27" i="1"/>
  <c r="M27" i="1"/>
  <c r="CS26" i="1"/>
  <c r="CO26" i="1"/>
  <c r="CK26" i="1"/>
  <c r="CG26" i="1"/>
  <c r="CC26" i="1"/>
  <c r="BY26" i="1"/>
  <c r="BQ26" i="1"/>
  <c r="BM26" i="1"/>
  <c r="BI26" i="1"/>
  <c r="BE26" i="1"/>
  <c r="BA26" i="1"/>
  <c r="AW26" i="1"/>
  <c r="AS26" i="1"/>
  <c r="AO26" i="1"/>
  <c r="AK26" i="1"/>
  <c r="AG26" i="1"/>
  <c r="AC26" i="1"/>
  <c r="Y26" i="1"/>
  <c r="U26" i="1"/>
  <c r="Q26" i="1"/>
  <c r="M26" i="1"/>
  <c r="CS25" i="1"/>
  <c r="CO25" i="1"/>
  <c r="CK25" i="1"/>
  <c r="CG25" i="1"/>
  <c r="CC25" i="1"/>
  <c r="BY25" i="1"/>
  <c r="BQ25" i="1"/>
  <c r="BM25" i="1"/>
  <c r="BI25" i="1"/>
  <c r="BE25" i="1"/>
  <c r="BA25" i="1"/>
  <c r="AW25" i="1"/>
  <c r="AS25" i="1"/>
  <c r="AO25" i="1"/>
  <c r="AK25" i="1"/>
  <c r="AG25" i="1"/>
  <c r="AC25" i="1"/>
  <c r="Y25" i="1"/>
  <c r="U25" i="1"/>
  <c r="Q25" i="1"/>
  <c r="M25" i="1"/>
  <c r="CS24" i="1"/>
  <c r="CO24" i="1"/>
  <c r="CK24" i="1"/>
  <c r="CG24" i="1"/>
  <c r="CC24" i="1"/>
  <c r="BY24" i="1"/>
  <c r="BQ24" i="1"/>
  <c r="BM24" i="1"/>
  <c r="BI24" i="1"/>
  <c r="BE24" i="1"/>
  <c r="BA24" i="1"/>
  <c r="AW24" i="1"/>
  <c r="AS24" i="1"/>
  <c r="AO24" i="1"/>
  <c r="AK24" i="1"/>
  <c r="AG24" i="1"/>
  <c r="AC24" i="1"/>
  <c r="Y24" i="1"/>
  <c r="U24" i="1"/>
  <c r="Q24" i="1"/>
  <c r="M24" i="1"/>
  <c r="CS22" i="1"/>
  <c r="CO22" i="1"/>
  <c r="CK22" i="1"/>
  <c r="CG22" i="1"/>
  <c r="CC22" i="1"/>
  <c r="BY22" i="1"/>
  <c r="BQ22" i="1"/>
  <c r="BM22" i="1"/>
  <c r="BI22" i="1"/>
  <c r="BE22" i="1"/>
  <c r="BA22" i="1"/>
  <c r="AW22" i="1"/>
  <c r="AS22" i="1"/>
  <c r="AO22" i="1"/>
  <c r="AK22" i="1"/>
  <c r="AG22" i="1"/>
  <c r="AC22" i="1"/>
  <c r="Y22" i="1"/>
  <c r="U22" i="1"/>
  <c r="Q22" i="1"/>
  <c r="M22" i="1"/>
  <c r="CS21" i="1"/>
  <c r="CO21" i="1"/>
  <c r="CK21" i="1"/>
  <c r="CG21" i="1"/>
  <c r="CC21" i="1"/>
  <c r="BY21" i="1"/>
  <c r="BQ21" i="1"/>
  <c r="BM21" i="1"/>
  <c r="BI21" i="1"/>
  <c r="BE21" i="1"/>
  <c r="BA21" i="1"/>
  <c r="AW21" i="1"/>
  <c r="AS21" i="1"/>
  <c r="AO21" i="1"/>
  <c r="AK21" i="1"/>
  <c r="AG21" i="1"/>
  <c r="AC21" i="1"/>
  <c r="Y21" i="1"/>
  <c r="U21" i="1"/>
  <c r="Q21" i="1"/>
  <c r="M21" i="1"/>
  <c r="CS20" i="1"/>
  <c r="CO20" i="1"/>
  <c r="CK20" i="1"/>
  <c r="CG20" i="1"/>
  <c r="CC20" i="1"/>
  <c r="BY20" i="1"/>
  <c r="BQ20" i="1"/>
  <c r="BM20" i="1"/>
  <c r="BI20" i="1"/>
  <c r="BE20" i="1"/>
  <c r="BA20" i="1"/>
  <c r="AW20" i="1"/>
  <c r="AS20" i="1"/>
  <c r="AO20" i="1"/>
  <c r="AK20" i="1"/>
  <c r="AG20" i="1"/>
  <c r="AC20" i="1"/>
  <c r="Y20" i="1"/>
  <c r="U20" i="1"/>
  <c r="Q20" i="1"/>
  <c r="M20" i="1"/>
  <c r="CS19" i="1"/>
  <c r="CO19" i="1"/>
  <c r="CK19" i="1"/>
  <c r="CG19" i="1"/>
  <c r="CC19" i="1"/>
  <c r="BY19" i="1"/>
  <c r="BQ19" i="1"/>
  <c r="BM19" i="1"/>
  <c r="BI19" i="1"/>
  <c r="BE19" i="1"/>
  <c r="BA19" i="1"/>
  <c r="AW19" i="1"/>
  <c r="AS19" i="1"/>
  <c r="AO19" i="1"/>
  <c r="AK19" i="1"/>
  <c r="AG19" i="1"/>
  <c r="AC19" i="1"/>
  <c r="Y19" i="1"/>
  <c r="U19" i="1"/>
  <c r="Q19" i="1"/>
  <c r="M19" i="1"/>
  <c r="CS18" i="1"/>
  <c r="CO18" i="1"/>
  <c r="CK18" i="1"/>
  <c r="CG18" i="1"/>
  <c r="CC18" i="1"/>
  <c r="BY18" i="1"/>
  <c r="BQ18" i="1"/>
  <c r="BM18" i="1"/>
  <c r="BI18" i="1"/>
  <c r="BE18" i="1"/>
  <c r="BA18" i="1"/>
  <c r="AW18" i="1"/>
  <c r="AS18" i="1"/>
  <c r="AO18" i="1"/>
  <c r="AK18" i="1"/>
  <c r="AG18" i="1"/>
  <c r="AC18" i="1"/>
  <c r="Y18" i="1"/>
  <c r="U18" i="1"/>
  <c r="Q18" i="1"/>
  <c r="M18" i="1"/>
  <c r="CS17" i="1"/>
  <c r="CO17" i="1"/>
  <c r="CK17" i="1"/>
  <c r="CG17" i="1"/>
  <c r="CC17" i="1"/>
  <c r="BY17" i="1"/>
  <c r="BQ17" i="1"/>
  <c r="BM17" i="1"/>
  <c r="BI17" i="1"/>
  <c r="BE17" i="1"/>
  <c r="BA17" i="1"/>
  <c r="AW17" i="1"/>
  <c r="AS17" i="1"/>
  <c r="AO17" i="1"/>
  <c r="AK17" i="1"/>
  <c r="AG17" i="1"/>
  <c r="AC17" i="1"/>
  <c r="Y17" i="1"/>
  <c r="U17" i="1"/>
  <c r="Q17" i="1"/>
  <c r="M17" i="1"/>
  <c r="CS15" i="1"/>
  <c r="CO15" i="1"/>
  <c r="CK15" i="1"/>
  <c r="CG15" i="1"/>
  <c r="CC15" i="1"/>
  <c r="BY15" i="1"/>
  <c r="BQ15" i="1"/>
  <c r="BM15" i="1"/>
  <c r="BI15" i="1"/>
  <c r="BE15" i="1"/>
  <c r="BA15" i="1"/>
  <c r="AW15" i="1"/>
  <c r="AS15" i="1"/>
  <c r="AO15" i="1"/>
  <c r="AK15" i="1"/>
  <c r="AG15" i="1"/>
  <c r="AC15" i="1"/>
  <c r="Y15" i="1"/>
  <c r="U15" i="1"/>
  <c r="Q15" i="1"/>
  <c r="M15" i="1"/>
  <c r="CS14" i="1"/>
  <c r="CO14" i="1"/>
  <c r="CK14" i="1"/>
  <c r="CG14" i="1"/>
  <c r="CC14" i="1"/>
  <c r="BY14" i="1"/>
  <c r="BQ14" i="1"/>
  <c r="BM14" i="1"/>
  <c r="BI14" i="1"/>
  <c r="BE14" i="1"/>
  <c r="BA14" i="1"/>
  <c r="AW14" i="1"/>
  <c r="AS14" i="1"/>
  <c r="AO14" i="1"/>
  <c r="AK14" i="1"/>
  <c r="AG14" i="1"/>
  <c r="AC14" i="1"/>
  <c r="Y14" i="1"/>
  <c r="U14" i="1"/>
  <c r="Q14" i="1"/>
  <c r="M14" i="1"/>
  <c r="CS13" i="1"/>
  <c r="CO13" i="1"/>
  <c r="CK13" i="1"/>
  <c r="CG13" i="1"/>
  <c r="CC13" i="1"/>
  <c r="BY13" i="1"/>
  <c r="BQ13" i="1"/>
  <c r="BM13" i="1"/>
  <c r="BI13" i="1"/>
  <c r="BE13" i="1"/>
  <c r="BA13" i="1"/>
  <c r="AW13" i="1"/>
  <c r="AS13" i="1"/>
  <c r="AO13" i="1"/>
  <c r="AK13" i="1"/>
  <c r="AG13" i="1"/>
  <c r="AC13" i="1"/>
  <c r="Y13" i="1"/>
  <c r="U13" i="1"/>
  <c r="Q13" i="1"/>
  <c r="M13" i="1"/>
  <c r="CS12" i="1"/>
  <c r="CO12" i="1"/>
  <c r="CK12" i="1"/>
  <c r="CG12" i="1"/>
  <c r="CC12" i="1"/>
  <c r="BY12" i="1"/>
  <c r="BQ12" i="1"/>
  <c r="BM12" i="1"/>
  <c r="BI12" i="1"/>
  <c r="BE12" i="1"/>
  <c r="BA12" i="1"/>
  <c r="AW12" i="1"/>
  <c r="AS12" i="1"/>
  <c r="AO12" i="1"/>
  <c r="AK12" i="1"/>
  <c r="AG12" i="1"/>
  <c r="AC12" i="1"/>
  <c r="Y12" i="1"/>
  <c r="U12" i="1"/>
  <c r="Q12" i="1"/>
  <c r="M12" i="1"/>
  <c r="CS11" i="1"/>
  <c r="CO11" i="1"/>
  <c r="CK11" i="1"/>
  <c r="CG11" i="1"/>
  <c r="CC11" i="1"/>
  <c r="BY11" i="1"/>
  <c r="BQ11" i="1"/>
  <c r="BM11" i="1"/>
  <c r="BI11" i="1"/>
  <c r="BE11" i="1"/>
  <c r="BA11" i="1"/>
  <c r="AW11" i="1"/>
  <c r="AS11" i="1"/>
  <c r="AO11" i="1"/>
  <c r="AK11" i="1"/>
  <c r="AG11" i="1"/>
  <c r="AC11" i="1"/>
  <c r="Y11" i="1"/>
  <c r="U11" i="1"/>
  <c r="Q11" i="1"/>
  <c r="M11" i="1"/>
  <c r="CS10" i="1"/>
  <c r="CO10" i="1"/>
  <c r="CK10" i="1"/>
  <c r="CG10" i="1"/>
  <c r="CC10" i="1"/>
  <c r="BY10" i="1"/>
  <c r="BQ10" i="1"/>
  <c r="BM10" i="1"/>
  <c r="BI10" i="1"/>
  <c r="BE10" i="1"/>
  <c r="BA10" i="1"/>
  <c r="AW10" i="1"/>
  <c r="AS10" i="1"/>
  <c r="AO10" i="1"/>
  <c r="AK10" i="1"/>
  <c r="AG10" i="1"/>
  <c r="AC10" i="1"/>
  <c r="Y10" i="1"/>
  <c r="U10" i="1"/>
  <c r="Q10" i="1"/>
  <c r="M10" i="1"/>
  <c r="BE8" i="1"/>
  <c r="BE7" i="1"/>
  <c r="BE6" i="1"/>
  <c r="BE5" i="1"/>
  <c r="BE4" i="1"/>
  <c r="BE3" i="1"/>
  <c r="CW85" i="1"/>
  <c r="CW84" i="1"/>
  <c r="CW83" i="1"/>
  <c r="CW82" i="1"/>
  <c r="CW81" i="1"/>
  <c r="CW80" i="1"/>
  <c r="CW78" i="1"/>
  <c r="CW77" i="1"/>
  <c r="CW76" i="1"/>
  <c r="CW75" i="1"/>
  <c r="CW74" i="1"/>
  <c r="CW73" i="1"/>
  <c r="CW71" i="1"/>
  <c r="CW70" i="1"/>
  <c r="CW69" i="1"/>
  <c r="CW68" i="1"/>
  <c r="CW67" i="1"/>
  <c r="CW66" i="1"/>
  <c r="CW64" i="1"/>
  <c r="CW63" i="1"/>
  <c r="CW62" i="1"/>
  <c r="CW61" i="1"/>
  <c r="CW60" i="1"/>
  <c r="CW59" i="1"/>
  <c r="CW57" i="1"/>
  <c r="CW56" i="1"/>
  <c r="CW55" i="1"/>
  <c r="CW54" i="1"/>
  <c r="CW53" i="1"/>
  <c r="CW52" i="1"/>
  <c r="CW50" i="1"/>
  <c r="CW49" i="1"/>
  <c r="CW48" i="1"/>
  <c r="CW47" i="1"/>
  <c r="CW46" i="1"/>
  <c r="CW45" i="1"/>
  <c r="CW43" i="1"/>
  <c r="CW42" i="1"/>
  <c r="CW41" i="1"/>
  <c r="CW40" i="1"/>
  <c r="CW39" i="1"/>
  <c r="CW38" i="1"/>
  <c r="CW36" i="1"/>
  <c r="CW35" i="1"/>
  <c r="CW34" i="1"/>
  <c r="CW33" i="1"/>
  <c r="CW32" i="1"/>
  <c r="CW31" i="1"/>
  <c r="CW29" i="1"/>
  <c r="CW28" i="1"/>
  <c r="CW27" i="1"/>
  <c r="CW26" i="1"/>
  <c r="CW25" i="1"/>
  <c r="CW24" i="1"/>
  <c r="CW22" i="1"/>
  <c r="CW21" i="1"/>
  <c r="CW20" i="1"/>
  <c r="CW19" i="1"/>
  <c r="CW18" i="1"/>
  <c r="CW17" i="1"/>
  <c r="CW15" i="1"/>
  <c r="CW14" i="1"/>
  <c r="CW13" i="1"/>
  <c r="CW12" i="1"/>
  <c r="CW11" i="1"/>
  <c r="CW10" i="1"/>
  <c r="CW8" i="1"/>
  <c r="CW7" i="1"/>
  <c r="CW6" i="1"/>
  <c r="CW5" i="1"/>
  <c r="CW4" i="1"/>
  <c r="CW3" i="1"/>
  <c r="CS85" i="1"/>
  <c r="CS84" i="1"/>
  <c r="CS83" i="1"/>
  <c r="CS82" i="1"/>
  <c r="CS81" i="1"/>
  <c r="CS80" i="1"/>
  <c r="CS8" i="1"/>
  <c r="CS7" i="1"/>
  <c r="CS6" i="1"/>
  <c r="CS5" i="1"/>
  <c r="CS4" i="1"/>
  <c r="CS3" i="1"/>
  <c r="CO8" i="1"/>
  <c r="CO7" i="1"/>
  <c r="CO6" i="1"/>
  <c r="CO5" i="1"/>
  <c r="CO4" i="1"/>
  <c r="CO3" i="1"/>
  <c r="CK8" i="1"/>
  <c r="CK7" i="1"/>
  <c r="CK6" i="1"/>
  <c r="CK5" i="1"/>
  <c r="CK4" i="1"/>
  <c r="CK3" i="1"/>
  <c r="CG8" i="1"/>
  <c r="CG7" i="1"/>
  <c r="CG6" i="1"/>
  <c r="CG5" i="1"/>
  <c r="CG4" i="1"/>
  <c r="CG3" i="1"/>
  <c r="CC8" i="1"/>
  <c r="CC7" i="1"/>
  <c r="CC6" i="1"/>
  <c r="CC5" i="1"/>
  <c r="CC4" i="1"/>
  <c r="CC3" i="1"/>
  <c r="BY8" i="1"/>
  <c r="BY7" i="1"/>
  <c r="BY6" i="1"/>
  <c r="BY5" i="1"/>
  <c r="BY4" i="1"/>
  <c r="BY3" i="1"/>
  <c r="BM8" i="1"/>
  <c r="BM7" i="1"/>
  <c r="BM6" i="1"/>
  <c r="BM5" i="1"/>
  <c r="BM4" i="1"/>
  <c r="BM3" i="1"/>
  <c r="BI8" i="1"/>
  <c r="BI7" i="1"/>
  <c r="BI6" i="1"/>
  <c r="BI5" i="1"/>
  <c r="BI4" i="1"/>
  <c r="BI3" i="1"/>
  <c r="BA8" i="1"/>
  <c r="BA7" i="1"/>
  <c r="BA6" i="1"/>
  <c r="BA5" i="1"/>
  <c r="BA4" i="1"/>
  <c r="BA3" i="1"/>
  <c r="AW8" i="1"/>
  <c r="AW7" i="1"/>
  <c r="AW6" i="1"/>
  <c r="AW5" i="1"/>
  <c r="AW4" i="1"/>
  <c r="AW3" i="1"/>
  <c r="AS8" i="1"/>
  <c r="AS7" i="1"/>
  <c r="AS6" i="1"/>
  <c r="AS5" i="1"/>
  <c r="AS4" i="1"/>
  <c r="AS3" i="1"/>
  <c r="AO8" i="1"/>
  <c r="AO7" i="1"/>
  <c r="AO6" i="1"/>
  <c r="AO5" i="1"/>
  <c r="AO4" i="1"/>
  <c r="AO3" i="1"/>
  <c r="AK8" i="1"/>
  <c r="AK7" i="1"/>
  <c r="AK6" i="1"/>
  <c r="AK5" i="1"/>
  <c r="AK4" i="1"/>
  <c r="AK3" i="1"/>
  <c r="AG8" i="1"/>
  <c r="AG7" i="1"/>
  <c r="AG6" i="1"/>
  <c r="AG5" i="1"/>
  <c r="AG4" i="1"/>
  <c r="AG3" i="1"/>
  <c r="AC8" i="1"/>
  <c r="AC7" i="1"/>
  <c r="AC6" i="1"/>
  <c r="AC5" i="1"/>
  <c r="AC4" i="1"/>
  <c r="AC3" i="1"/>
  <c r="Y8" i="1"/>
  <c r="Y7" i="1"/>
  <c r="Y6" i="1"/>
  <c r="Y5" i="1"/>
  <c r="Y4" i="1"/>
  <c r="Y3" i="1"/>
  <c r="U8" i="1"/>
  <c r="U7" i="1"/>
  <c r="U6" i="1"/>
  <c r="U5" i="1"/>
  <c r="U4" i="1"/>
  <c r="U3" i="1"/>
  <c r="Q8" i="1"/>
  <c r="Q7" i="1"/>
  <c r="Q6" i="1"/>
  <c r="Q5" i="1"/>
  <c r="Q4" i="1"/>
  <c r="Q3" i="1"/>
  <c r="BQ8" i="1"/>
  <c r="BQ7" i="1"/>
  <c r="BQ6" i="1"/>
  <c r="BQ5" i="1"/>
  <c r="BQ4" i="1"/>
  <c r="BQ3" i="1"/>
  <c r="P22" i="2"/>
  <c r="N22" i="2"/>
  <c r="L22" i="2"/>
  <c r="J22" i="2"/>
  <c r="H22" i="2"/>
  <c r="F8" i="2"/>
  <c r="F9" i="2" s="1"/>
  <c r="J17" i="2"/>
  <c r="N23" i="2"/>
  <c r="P23" i="2"/>
  <c r="L23" i="2"/>
  <c r="J23" i="2"/>
  <c r="H23" i="2"/>
  <c r="P43" i="2"/>
  <c r="P42" i="2"/>
  <c r="P41" i="2"/>
  <c r="P39" i="2"/>
  <c r="P38" i="2"/>
  <c r="P37" i="2"/>
  <c r="P35" i="2"/>
  <c r="P34" i="2"/>
  <c r="P33" i="2"/>
  <c r="P31" i="2"/>
  <c r="P30" i="2"/>
  <c r="P29" i="2"/>
  <c r="P27" i="2"/>
  <c r="P26" i="2"/>
  <c r="P25" i="2"/>
  <c r="P21" i="2"/>
  <c r="P20" i="2"/>
  <c r="P19" i="2"/>
  <c r="P18" i="2"/>
  <c r="P17" i="2"/>
  <c r="P16" i="2"/>
  <c r="P15" i="2"/>
  <c r="P14" i="2"/>
  <c r="P13" i="2"/>
  <c r="P12" i="2"/>
  <c r="P11" i="2"/>
  <c r="P10" i="2"/>
  <c r="P7" i="2"/>
  <c r="P6" i="2"/>
  <c r="P5" i="2"/>
  <c r="P4" i="2"/>
  <c r="P3" i="2"/>
  <c r="N43" i="2"/>
  <c r="N42" i="2"/>
  <c r="N41" i="2"/>
  <c r="N39" i="2"/>
  <c r="N38" i="2"/>
  <c r="N37" i="2"/>
  <c r="N35" i="2"/>
  <c r="N34" i="2"/>
  <c r="N33" i="2"/>
  <c r="N31" i="2"/>
  <c r="N30" i="2"/>
  <c r="N29" i="2"/>
  <c r="N27" i="2"/>
  <c r="N26" i="2"/>
  <c r="N25" i="2"/>
  <c r="N21" i="2"/>
  <c r="N20" i="2"/>
  <c r="N19" i="2"/>
  <c r="N18" i="2"/>
  <c r="N17" i="2"/>
  <c r="N16" i="2"/>
  <c r="N15" i="2"/>
  <c r="N14" i="2"/>
  <c r="N13" i="2"/>
  <c r="N12" i="2"/>
  <c r="N11" i="2"/>
  <c r="N10" i="2"/>
  <c r="N7" i="2"/>
  <c r="N6" i="2"/>
  <c r="N5" i="2"/>
  <c r="N4" i="2"/>
  <c r="N3" i="2"/>
  <c r="L43" i="2"/>
  <c r="L42" i="2"/>
  <c r="L41" i="2"/>
  <c r="L39" i="2"/>
  <c r="L38" i="2"/>
  <c r="L37" i="2"/>
  <c r="L35" i="2"/>
  <c r="L34" i="2"/>
  <c r="L33" i="2"/>
  <c r="L31" i="2"/>
  <c r="L30" i="2"/>
  <c r="L29" i="2"/>
  <c r="L27" i="2"/>
  <c r="L26" i="2"/>
  <c r="L25" i="2"/>
  <c r="L21" i="2"/>
  <c r="L20" i="2"/>
  <c r="L19" i="2"/>
  <c r="L18" i="2"/>
  <c r="L17" i="2"/>
  <c r="L16" i="2"/>
  <c r="L15" i="2"/>
  <c r="L14" i="2"/>
  <c r="L13" i="2"/>
  <c r="L12" i="2"/>
  <c r="L11" i="2"/>
  <c r="L10" i="2"/>
  <c r="L7" i="2"/>
  <c r="L6" i="2"/>
  <c r="L5" i="2"/>
  <c r="L4" i="2"/>
  <c r="L3" i="2"/>
  <c r="J43" i="2"/>
  <c r="J42" i="2"/>
  <c r="J41" i="2"/>
  <c r="J39" i="2"/>
  <c r="J38" i="2"/>
  <c r="J37" i="2"/>
  <c r="J35" i="2"/>
  <c r="J34" i="2"/>
  <c r="J33" i="2"/>
  <c r="J31" i="2"/>
  <c r="J30" i="2"/>
  <c r="J29" i="2"/>
  <c r="J27" i="2"/>
  <c r="J26" i="2"/>
  <c r="J25" i="2"/>
  <c r="J21" i="2"/>
  <c r="J20" i="2"/>
  <c r="J19" i="2"/>
  <c r="J18" i="2"/>
  <c r="J16" i="2"/>
  <c r="J15" i="2"/>
  <c r="J14" i="2"/>
  <c r="J13" i="2"/>
  <c r="J12" i="2"/>
  <c r="J11" i="2"/>
  <c r="J10" i="2"/>
  <c r="J7" i="2"/>
  <c r="J6" i="2"/>
  <c r="J5" i="2"/>
  <c r="J4" i="2"/>
  <c r="J3" i="2"/>
  <c r="AC39" i="3"/>
  <c r="AC37" i="3"/>
  <c r="AC35" i="3"/>
  <c r="AC34" i="3"/>
  <c r="AC32" i="3"/>
  <c r="AC31" i="3"/>
  <c r="AC30" i="3"/>
  <c r="AC29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Y39" i="3"/>
  <c r="Y37" i="3"/>
  <c r="Y35" i="3"/>
  <c r="Y34" i="3"/>
  <c r="Y32" i="3"/>
  <c r="Y31" i="3"/>
  <c r="Y30" i="3"/>
  <c r="Y29" i="3"/>
  <c r="Y27" i="3"/>
  <c r="Y26" i="3"/>
  <c r="Y25" i="3"/>
  <c r="Y24" i="3"/>
  <c r="Y23" i="3"/>
  <c r="Y22" i="3"/>
  <c r="Y21" i="3"/>
  <c r="Y20" i="3"/>
  <c r="Y18" i="3"/>
  <c r="Y17" i="3"/>
  <c r="Y16" i="3"/>
  <c r="Y15" i="3"/>
  <c r="Y14" i="3"/>
  <c r="Y13" i="3"/>
  <c r="Y12" i="3"/>
  <c r="Y11" i="3"/>
  <c r="Y10" i="3"/>
  <c r="Y9" i="3"/>
  <c r="U39" i="3"/>
  <c r="U37" i="3"/>
  <c r="U35" i="3"/>
  <c r="U34" i="3"/>
  <c r="U32" i="3"/>
  <c r="U31" i="3"/>
  <c r="U30" i="3"/>
  <c r="U29" i="3"/>
  <c r="U27" i="3"/>
  <c r="U26" i="3"/>
  <c r="U25" i="3"/>
  <c r="U24" i="3"/>
  <c r="U23" i="3"/>
  <c r="U22" i="3"/>
  <c r="U21" i="3"/>
  <c r="U20" i="3"/>
  <c r="U18" i="3"/>
  <c r="U17" i="3"/>
  <c r="U16" i="3"/>
  <c r="U15" i="3"/>
  <c r="U14" i="3"/>
  <c r="U13" i="3"/>
  <c r="U12" i="3"/>
  <c r="U11" i="3"/>
  <c r="U10" i="3"/>
  <c r="U9" i="3"/>
  <c r="H43" i="2"/>
  <c r="H42" i="2"/>
  <c r="H41" i="2"/>
  <c r="H39" i="2"/>
  <c r="H38" i="2"/>
  <c r="H37" i="2"/>
  <c r="H35" i="2"/>
  <c r="H34" i="2"/>
  <c r="H33" i="2"/>
  <c r="H21" i="2"/>
  <c r="H31" i="2"/>
  <c r="H30" i="2"/>
  <c r="H29" i="2"/>
  <c r="H27" i="2"/>
  <c r="H26" i="2"/>
  <c r="H25" i="2"/>
  <c r="H20" i="2"/>
  <c r="H19" i="2"/>
  <c r="H18" i="2"/>
  <c r="H17" i="2"/>
  <c r="H16" i="2"/>
  <c r="H15" i="2"/>
  <c r="H7" i="2"/>
  <c r="H6" i="2"/>
  <c r="H5" i="2"/>
  <c r="H4" i="2"/>
  <c r="H3" i="2"/>
  <c r="H13" i="2"/>
  <c r="H14" i="2"/>
  <c r="H12" i="2"/>
  <c r="H11" i="2"/>
  <c r="H10" i="2"/>
  <c r="M3" i="1"/>
  <c r="M4" i="1"/>
  <c r="M5" i="1"/>
  <c r="M6" i="1"/>
  <c r="M7" i="1"/>
  <c r="M8" i="1"/>
  <c r="DF86" i="1" l="1"/>
  <c r="CX40" i="3"/>
  <c r="AA4" i="4" s="1"/>
  <c r="BE44" i="2"/>
  <c r="AC5" i="4" s="1"/>
  <c r="AC6" i="4" s="1"/>
  <c r="DB40" i="3"/>
  <c r="AB4" i="4" s="1"/>
  <c r="AY44" i="2"/>
  <c r="Z5" i="4" s="1"/>
  <c r="BA44" i="2"/>
  <c r="AA5" i="4" s="1"/>
  <c r="AM44" i="2"/>
  <c r="T5" i="4" s="1"/>
  <c r="AQ44" i="2"/>
  <c r="V5" i="4" s="1"/>
  <c r="AW44" i="2"/>
  <c r="Y5" i="4" s="1"/>
  <c r="BC44" i="2"/>
  <c r="AB5" i="4" s="1"/>
  <c r="AU44" i="2"/>
  <c r="X5" i="4" s="1"/>
  <c r="M44" i="2"/>
  <c r="G5" i="4" s="1"/>
  <c r="I44" i="2"/>
  <c r="G44" i="2"/>
  <c r="D5" i="4" s="1"/>
  <c r="AO44" i="2"/>
  <c r="U5" i="4" s="1"/>
  <c r="AS44" i="2"/>
  <c r="W5" i="4" s="1"/>
  <c r="AK44" i="2"/>
  <c r="S5" i="4" s="1"/>
  <c r="AI44" i="2"/>
  <c r="R5" i="4" s="1"/>
  <c r="AE44" i="2"/>
  <c r="P5" i="4" s="1"/>
  <c r="O44" i="2"/>
  <c r="H5" i="4" s="1"/>
  <c r="K44" i="2"/>
  <c r="F5" i="4" s="1"/>
  <c r="CL40" i="3"/>
  <c r="X4" i="4" s="1"/>
  <c r="J40" i="3"/>
  <c r="CP40" i="3"/>
  <c r="Y4" i="4" s="1"/>
  <c r="CT40" i="3"/>
  <c r="Z4" i="4" s="1"/>
  <c r="AH40" i="3"/>
  <c r="J4" i="4" s="1"/>
  <c r="BN40" i="3"/>
  <c r="R4" i="4" s="1"/>
  <c r="AL40" i="3"/>
  <c r="K4" i="4" s="1"/>
  <c r="BR40" i="3"/>
  <c r="S4" i="4" s="1"/>
  <c r="V40" i="3"/>
  <c r="BB40" i="3"/>
  <c r="O4" i="4" s="1"/>
  <c r="CH40" i="3"/>
  <c r="W4" i="4" s="1"/>
  <c r="N40" i="3"/>
  <c r="E4" i="4" s="1"/>
  <c r="AT40" i="3"/>
  <c r="M4" i="4" s="1"/>
  <c r="BZ40" i="3"/>
  <c r="U4" i="4" s="1"/>
  <c r="AX40" i="3"/>
  <c r="N4" i="4" s="1"/>
  <c r="CD40" i="3"/>
  <c r="V4" i="4" s="1"/>
  <c r="Z40" i="3"/>
  <c r="H4" i="4" s="1"/>
  <c r="BF40" i="3"/>
  <c r="P4" i="4" s="1"/>
  <c r="AP40" i="3"/>
  <c r="L4" i="4" s="1"/>
  <c r="BV40" i="3"/>
  <c r="T4" i="4" s="1"/>
  <c r="R40" i="3"/>
  <c r="F4" i="4" s="1"/>
  <c r="AD40" i="3"/>
  <c r="I4" i="4" s="1"/>
  <c r="BJ40" i="3"/>
  <c r="Q4" i="4" s="1"/>
  <c r="CX86" i="1"/>
  <c r="AA3" i="4" s="1"/>
  <c r="DB86" i="1"/>
  <c r="AB3" i="4" s="1"/>
  <c r="BR86" i="1"/>
  <c r="S3" i="4" s="1"/>
  <c r="AC44" i="2"/>
  <c r="O5" i="4" s="1"/>
  <c r="U44" i="2"/>
  <c r="K5" i="4" s="1"/>
  <c r="W44" i="2"/>
  <c r="L5" i="4" s="1"/>
  <c r="Y44" i="2"/>
  <c r="M5" i="4" s="1"/>
  <c r="AA44" i="2"/>
  <c r="N5" i="4" s="1"/>
  <c r="S44" i="2"/>
  <c r="J5" i="4" s="1"/>
  <c r="AG44" i="2"/>
  <c r="Q5" i="4" s="1"/>
  <c r="Q44" i="2"/>
  <c r="I5" i="4" s="1"/>
  <c r="G4" i="4"/>
  <c r="D4" i="4"/>
  <c r="BB86" i="1"/>
  <c r="O3" i="4" s="1"/>
  <c r="BN86" i="1"/>
  <c r="R3" i="4" s="1"/>
  <c r="N86" i="1"/>
  <c r="E3" i="4" s="1"/>
  <c r="R86" i="1"/>
  <c r="F3" i="4" s="1"/>
  <c r="V86" i="1"/>
  <c r="G3" i="4" s="1"/>
  <c r="Z86" i="1"/>
  <c r="H3" i="4" s="1"/>
  <c r="AD86" i="1"/>
  <c r="I3" i="4" s="1"/>
  <c r="AH86" i="1"/>
  <c r="J3" i="4" s="1"/>
  <c r="AL86" i="1"/>
  <c r="K3" i="4" s="1"/>
  <c r="AP86" i="1"/>
  <c r="L3" i="4" s="1"/>
  <c r="AT86" i="1"/>
  <c r="M3" i="4" s="1"/>
  <c r="AX86" i="1"/>
  <c r="N3" i="4" s="1"/>
  <c r="BF86" i="1"/>
  <c r="P3" i="4" s="1"/>
  <c r="BJ86" i="1"/>
  <c r="Q3" i="4" s="1"/>
  <c r="BV86" i="1"/>
  <c r="T3" i="4" s="1"/>
  <c r="BZ86" i="1"/>
  <c r="U3" i="4" s="1"/>
  <c r="CD86" i="1"/>
  <c r="V3" i="4" s="1"/>
  <c r="CH86" i="1"/>
  <c r="W3" i="4" s="1"/>
  <c r="CL86" i="1"/>
  <c r="X3" i="4" s="1"/>
  <c r="CP86" i="1"/>
  <c r="Y3" i="4" s="1"/>
  <c r="CT86" i="1"/>
  <c r="Z3" i="4" s="1"/>
  <c r="J86" i="1"/>
  <c r="D3" i="4" s="1"/>
  <c r="C10" i="4" l="1" a="1"/>
  <c r="C10" i="4" s="1"/>
  <c r="L6" i="4"/>
  <c r="AB6" i="4"/>
  <c r="S6" i="4"/>
  <c r="D10" i="4" s="1" a="1"/>
  <c r="D10" i="4" s="1"/>
  <c r="G6" i="4"/>
  <c r="H6" i="4"/>
  <c r="N6" i="4"/>
  <c r="R6" i="4"/>
  <c r="J6" i="4"/>
  <c r="F6" i="4"/>
  <c r="M6" i="4"/>
  <c r="P6" i="4"/>
  <c r="X6" i="4"/>
  <c r="K6" i="4"/>
  <c r="Y6" i="4"/>
  <c r="O6" i="4"/>
  <c r="W6" i="4"/>
  <c r="V6" i="4"/>
  <c r="I6" i="4"/>
  <c r="U6" i="4"/>
  <c r="T6" i="4"/>
  <c r="Q6" i="4"/>
  <c r="D6" i="4"/>
  <c r="AA6" i="4"/>
  <c r="Z6" i="4"/>
  <c r="E5" i="4"/>
  <c r="E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<sst xmlns="http://schemas.openxmlformats.org/spreadsheetml/2006/main" count="3828" uniqueCount="244">
  <si>
    <t>Gruppe A</t>
  </si>
  <si>
    <t>-</t>
  </si>
  <si>
    <t>Mexico</t>
  </si>
  <si>
    <t>Sør-Afrika</t>
  </si>
  <si>
    <t>Sør-Korea</t>
  </si>
  <si>
    <t>Tsjekkia</t>
  </si>
  <si>
    <t>Erling</t>
  </si>
  <si>
    <t>Resultat</t>
  </si>
  <si>
    <t>Gruppe B</t>
  </si>
  <si>
    <t>Gruppe C</t>
  </si>
  <si>
    <t>Gruppe D</t>
  </si>
  <si>
    <t>Gruppe E</t>
  </si>
  <si>
    <t>Gruppe F</t>
  </si>
  <si>
    <t>Gruppe G</t>
  </si>
  <si>
    <t>Gruppe H</t>
  </si>
  <si>
    <t>Canada</t>
  </si>
  <si>
    <t>Bosnia-Hercegovina</t>
  </si>
  <si>
    <t>Qatar</t>
  </si>
  <si>
    <t>Sveits</t>
  </si>
  <si>
    <t>Brasil</t>
  </si>
  <si>
    <t>Marokko</t>
  </si>
  <si>
    <t>Haiti</t>
  </si>
  <si>
    <t>Skottland</t>
  </si>
  <si>
    <t>USA</t>
  </si>
  <si>
    <t>Paraguay</t>
  </si>
  <si>
    <t>Australia</t>
  </si>
  <si>
    <t>Tyrkia</t>
  </si>
  <si>
    <t>Tyskland</t>
  </si>
  <si>
    <t>Curaçao</t>
  </si>
  <si>
    <t>Elfenbenskysten</t>
  </si>
  <si>
    <t>Ecuador</t>
  </si>
  <si>
    <t>Nederland</t>
  </si>
  <si>
    <t>Japan</t>
  </si>
  <si>
    <t>Sverige</t>
  </si>
  <si>
    <t>Tunisia</t>
  </si>
  <si>
    <t>Belgia</t>
  </si>
  <si>
    <t>Egypt</t>
  </si>
  <si>
    <t>Iran</t>
  </si>
  <si>
    <t>New Zealand</t>
  </si>
  <si>
    <t>Spania</t>
  </si>
  <si>
    <t>Kapp Verde</t>
  </si>
  <si>
    <t>Saudi-Arabia</t>
  </si>
  <si>
    <t>Uruguay</t>
  </si>
  <si>
    <t>Gruppe I</t>
  </si>
  <si>
    <t>Frankrike</t>
  </si>
  <si>
    <t>Senegal</t>
  </si>
  <si>
    <t>Irak</t>
  </si>
  <si>
    <t>Norge</t>
  </si>
  <si>
    <t>Gruppe J</t>
  </si>
  <si>
    <t>Argentina</t>
  </si>
  <si>
    <t>Algerie</t>
  </si>
  <si>
    <t>Østerrike</t>
  </si>
  <si>
    <t>Jordan</t>
  </si>
  <si>
    <t>Gruppe K</t>
  </si>
  <si>
    <t>Portugal</t>
  </si>
  <si>
    <t>DR Kongo</t>
  </si>
  <si>
    <t>Usbekistan</t>
  </si>
  <si>
    <t>Colombia</t>
  </si>
  <si>
    <t>Gruppe L</t>
  </si>
  <si>
    <t>England</t>
  </si>
  <si>
    <t>Kroatia</t>
  </si>
  <si>
    <t>Ghana</t>
  </si>
  <si>
    <t>Panama</t>
  </si>
  <si>
    <t>21:00</t>
  </si>
  <si>
    <t>04:00</t>
  </si>
  <si>
    <t>18:00</t>
  </si>
  <si>
    <t>03:00</t>
  </si>
  <si>
    <t>00:00</t>
  </si>
  <si>
    <t>02:30</t>
  </si>
  <si>
    <t>06:00</t>
  </si>
  <si>
    <t>05:00</t>
  </si>
  <si>
    <t>19:00</t>
  </si>
  <si>
    <t>01:00</t>
  </si>
  <si>
    <t>22:00</t>
  </si>
  <si>
    <t>02:00</t>
  </si>
  <si>
    <t>23:00</t>
  </si>
  <si>
    <t>01:30</t>
  </si>
  <si>
    <t>Dato</t>
  </si>
  <si>
    <t>Kl.</t>
  </si>
  <si>
    <t>Krydderspørsmål</t>
  </si>
  <si>
    <t>5p</t>
  </si>
  <si>
    <t>3p</t>
  </si>
  <si>
    <t>2p</t>
  </si>
  <si>
    <t>4p</t>
  </si>
  <si>
    <t>1p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</si>
  <si>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</si>
  <si>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</si>
  <si>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</si>
  <si>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</si>
  <si>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</si>
  <si>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</si>
  <si>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</si>
  <si>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</si>
  <si>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</si>
  <si>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</si>
  <si>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</si>
  <si>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</si>
  <si>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</si>
  <si>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</si>
  <si>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</si>
  <si>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</si>
  <si>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Hvem vinner VM?</t>
  </si>
  <si>
    <t>Hvem vinner Gullstøvelen (toppscorer)?</t>
  </si>
  <si>
    <t>Hvem vinner Gullballen (beste spiller)?</t>
  </si>
  <si>
    <r>
      <t xml:space="preserve">Hvem vinner </t>
    </r>
    <r>
      <rPr>
        <b/>
        <i/>
        <sz val="11"/>
        <color theme="1"/>
        <rFont val="Aptos Narrow"/>
        <family val="2"/>
        <scheme val="minor"/>
      </rPr>
      <t>FIFA Young player of the Tournament?</t>
    </r>
  </si>
  <si>
    <t>Hvor mange mål scores det totalt i VM?</t>
  </si>
  <si>
    <r>
      <t>Hvilket tidspunkt scores det raskeste målet? (</t>
    </r>
    <r>
      <rPr>
        <b/>
        <sz val="11"/>
        <color theme="1"/>
        <rFont val="Aptos Narrow"/>
        <family val="2"/>
      </rPr>
      <t>±15 sek.)</t>
    </r>
  </si>
  <si>
    <t>Nevn to lag som får rødt kort i løpet av VM.</t>
  </si>
  <si>
    <t>I hvilken gruppe scores det flest mål?</t>
  </si>
  <si>
    <t>Hvilket lag blir VMs dårligste?</t>
  </si>
  <si>
    <t>Hvem dømmer finalen?</t>
  </si>
  <si>
    <t>Hvilken øynasjon kommer lengst?</t>
  </si>
  <si>
    <t>Hvem scorer flest mål av Cristiano Ronaldo og Lionel Messi?</t>
  </si>
  <si>
    <t>Hvilket afrikanske land kommer lengst?</t>
  </si>
  <si>
    <t>Nevn en kjendis som dør i løpet av VM.</t>
  </si>
  <si>
    <t>Får alle tre Bodø/Glimt-spillerne spilletid i løpet av VM?</t>
  </si>
  <si>
    <t>Yamal</t>
  </si>
  <si>
    <t>Sekstendelsfinaler</t>
  </si>
  <si>
    <t>Åttendelsfinaler</t>
  </si>
  <si>
    <t>Kvartfinaler</t>
  </si>
  <si>
    <t>Semifinaler</t>
  </si>
  <si>
    <t>Bronsefinale</t>
  </si>
  <si>
    <t>Finale</t>
  </si>
  <si>
    <t>Kategori</t>
  </si>
  <si>
    <t>Gruppespill</t>
  </si>
  <si>
    <t>Totalt</t>
  </si>
  <si>
    <t>Poeng gruppespill</t>
  </si>
  <si>
    <t>Utslagsrunder</t>
  </si>
  <si>
    <t>Fasit</t>
  </si>
  <si>
    <t>Poeng utslagsrunder</t>
  </si>
  <si>
    <t>Krydderspørsmål sekstendelsfinaler</t>
  </si>
  <si>
    <t>Krydderspørsmål åttendelsfinaler</t>
  </si>
  <si>
    <t>Krydderspørsmål kvartfinaler</t>
  </si>
  <si>
    <t>Krydderspørsmål semifinaler</t>
  </si>
  <si>
    <t>Krydderspørsmål finaler</t>
  </si>
  <si>
    <t>Poeng krydderspørsmål</t>
  </si>
  <si>
    <t>Nevn to lag som scorer selvmål i løpet av VM.</t>
  </si>
  <si>
    <t>Messi</t>
  </si>
  <si>
    <t>Ja</t>
  </si>
  <si>
    <t>Hvor langt kommer Norge</t>
  </si>
  <si>
    <t>E</t>
  </si>
  <si>
    <t>17.</t>
  </si>
  <si>
    <t>Navn</t>
  </si>
  <si>
    <t>Poeng</t>
  </si>
  <si>
    <t>Antall mål scoret så langt</t>
  </si>
  <si>
    <t>Estimert antall mål i VM</t>
  </si>
  <si>
    <t>Nr.</t>
  </si>
  <si>
    <t>Skjalg</t>
  </si>
  <si>
    <t>Sindre</t>
  </si>
  <si>
    <t>Anne Marte</t>
  </si>
  <si>
    <t>Ole</t>
  </si>
  <si>
    <t>Eirik</t>
  </si>
  <si>
    <t>Margret</t>
  </si>
  <si>
    <t>Hilde</t>
  </si>
  <si>
    <t>Sofia</t>
  </si>
  <si>
    <t>Nicholas</t>
  </si>
  <si>
    <t>Anders</t>
  </si>
  <si>
    <t>Morten</t>
  </si>
  <si>
    <t>Bent Arne</t>
  </si>
  <si>
    <t>Gunvor</t>
  </si>
  <si>
    <t>Lisa</t>
  </si>
  <si>
    <t>Trond</t>
  </si>
  <si>
    <t>Ida</t>
  </si>
  <si>
    <t>Håkon Emil</t>
  </si>
  <si>
    <t>Håkon M</t>
  </si>
  <si>
    <t>Espen</t>
  </si>
  <si>
    <t>Jonas G</t>
  </si>
  <si>
    <t>Kay Robin</t>
  </si>
  <si>
    <t>Magnus</t>
  </si>
  <si>
    <t>Jonas W</t>
  </si>
  <si>
    <t>Viktor</t>
  </si>
  <si>
    <t>Vinicius Jr.</t>
  </si>
  <si>
    <t>Curacao</t>
  </si>
  <si>
    <t>Vincic</t>
  </si>
  <si>
    <t>Ronaldo</t>
  </si>
  <si>
    <t>Joe Biden</t>
  </si>
  <si>
    <t>Åttendelsfinale</t>
  </si>
  <si>
    <t>Nei</t>
  </si>
  <si>
    <t>Kong Harald</t>
  </si>
  <si>
    <t>Donald Trump</t>
  </si>
  <si>
    <t>Kvartfinale</t>
  </si>
  <si>
    <t>Haaland</t>
  </si>
  <si>
    <t>Joao Neves</t>
  </si>
  <si>
    <t>H</t>
  </si>
  <si>
    <t>Elfenbenkysten</t>
  </si>
  <si>
    <t>David Attenborough</t>
  </si>
  <si>
    <t>I</t>
  </si>
  <si>
    <t>Elton John</t>
  </si>
  <si>
    <t>Mbappe</t>
  </si>
  <si>
    <t>241</t>
  </si>
  <si>
    <t>Curacau</t>
  </si>
  <si>
    <t>Ringo Starr</t>
  </si>
  <si>
    <t>Prinsesse Astrid</t>
  </si>
  <si>
    <t>Ødegaard</t>
  </si>
  <si>
    <t>B</t>
  </si>
  <si>
    <t>Bob Dylan</t>
  </si>
  <si>
    <t>Clint Eastwood</t>
  </si>
  <si>
    <t>Morgan Freeman</t>
  </si>
  <si>
    <t>255</t>
  </si>
  <si>
    <t>C</t>
  </si>
  <si>
    <t>Kane</t>
  </si>
  <si>
    <t>Marciniak</t>
  </si>
  <si>
    <t>Torbjørn Jagland</t>
  </si>
  <si>
    <t>Semifinale</t>
  </si>
  <si>
    <t>Buzz Aldrin</t>
  </si>
  <si>
    <t>Pedri</t>
  </si>
  <si>
    <t>225</t>
  </si>
  <si>
    <t>Rupert Murdoch</t>
  </si>
  <si>
    <t>Marocco</t>
  </si>
  <si>
    <t>Ingen</t>
  </si>
  <si>
    <t>G</t>
  </si>
  <si>
    <t>Åttedelsfinale</t>
  </si>
  <si>
    <t>Marius Borg Høiby</t>
  </si>
  <si>
    <t>Bosnia</t>
  </si>
  <si>
    <t>J</t>
  </si>
  <si>
    <t>Cristiano Ronaldo</t>
  </si>
  <si>
    <t>Drillo</t>
  </si>
  <si>
    <t>Dembele</t>
  </si>
  <si>
    <t>Barcola</t>
  </si>
  <si>
    <t>Mette-Marit</t>
  </si>
  <si>
    <t>Oyarzabal</t>
  </si>
  <si>
    <t>Bonnie Tyler</t>
  </si>
  <si>
    <t>Vitinha</t>
  </si>
  <si>
    <t>Olise</t>
  </si>
  <si>
    <t>Bruno Fernandes</t>
  </si>
  <si>
    <t>Kovacs</t>
  </si>
  <si>
    <t>Taylor</t>
  </si>
  <si>
    <t>Pinheiro</t>
  </si>
  <si>
    <t>Oliver</t>
  </si>
  <si>
    <t>Makkelie</t>
  </si>
  <si>
    <t>Faghani</t>
  </si>
  <si>
    <t>Schärer</t>
  </si>
  <si>
    <t>Mariani</t>
  </si>
  <si>
    <t>Artan</t>
  </si>
  <si>
    <t>Charter-Svein</t>
  </si>
  <si>
    <t>Zwayer</t>
  </si>
  <si>
    <t>Claus</t>
  </si>
  <si>
    <t>L</t>
  </si>
  <si>
    <t>Kajsa</t>
  </si>
  <si>
    <t>Bruno Fernandez</t>
  </si>
  <si>
    <t>Lionel Messi</t>
  </si>
  <si>
    <t>Miles Lewis Skelly</t>
  </si>
  <si>
    <t>Ismail Elfath</t>
  </si>
  <si>
    <t>Sør-Afrika,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</si>
</sst>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 tint="0.59999389629810485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822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8F3D0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0020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64" fontId="0" fillId="2" borderId="11" xfId="0" applyNumberFormat="1" applyFill="1" applyBorder="1" applyAlignment="1">
      <alignment horizontal="left"/>
    </xf>
    <xf numFmtId="164" fontId="0" fillId="2" borderId="12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4" xfId="0" applyFill="1" applyBorder="1"/>
    <xf numFmtId="0" fontId="0" fillId="2" borderId="2" xfId="0" applyFill="1" applyBorder="1"/>
    <xf numFmtId="0" fontId="0" fillId="2" borderId="4" xfId="0" applyFill="1" applyBorder="1"/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45" fontId="0" fillId="2" borderId="2" xfId="0" applyNumberForma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64" fontId="0" fillId="2" borderId="10" xfId="0" applyNumberForma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4" xfId="0" applyFill="1" applyBorder="1" applyAlignment="1">
      <alignment horizontal="right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20" fontId="0" fillId="2" borderId="11" xfId="0" applyNumberFormat="1" applyFill="1" applyBorder="1" applyAlignment="1">
      <alignment horizontal="left"/>
    </xf>
    <xf numFmtId="20" fontId="0" fillId="2" borderId="12" xfId="0" applyNumberFormat="1" applyFill="1" applyBorder="1" applyAlignment="1">
      <alignment horizontal="left"/>
    </xf>
    <xf numFmtId="20" fontId="0" fillId="2" borderId="1" xfId="0" applyNumberFormat="1" applyFill="1" applyBorder="1" applyAlignment="1">
      <alignment horizontal="left"/>
    </xf>
    <xf numFmtId="20" fontId="0" fillId="2" borderId="3" xfId="0" applyNumberFormat="1" applyFill="1" applyBorder="1" applyAlignment="1">
      <alignment horizontal="left"/>
    </xf>
    <xf numFmtId="0" fontId="2" fillId="3" borderId="7" xfId="0" applyFont="1" applyFill="1" applyBorder="1"/>
    <xf numFmtId="0" fontId="2" fillId="3" borderId="9" xfId="0" applyFont="1" applyFill="1" applyBorder="1"/>
    <xf numFmtId="0" fontId="2" fillId="3" borderId="8" xfId="0" applyFont="1" applyFill="1" applyBorder="1"/>
    <xf numFmtId="0" fontId="1" fillId="2" borderId="14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2" borderId="2" xfId="0" quotePrefix="1" applyFill="1" applyBorder="1" applyAlignment="1">
      <alignment horizontal="left"/>
    </xf>
    <xf numFmtId="0" fontId="8" fillId="4" borderId="7" xfId="0" applyFont="1" applyFill="1" applyBorder="1"/>
    <xf numFmtId="0" fontId="8" fillId="4" borderId="8" xfId="0" applyFont="1" applyFill="1" applyBorder="1"/>
    <xf numFmtId="0" fontId="8" fillId="4" borderId="9" xfId="0" applyFont="1" applyFill="1" applyBorder="1"/>
    <xf numFmtId="0" fontId="0" fillId="5" borderId="0" xfId="0" applyFill="1"/>
    <xf numFmtId="164" fontId="0" fillId="5" borderId="0" xfId="0" applyNumberFormat="1" applyFill="1"/>
    <xf numFmtId="0" fontId="0" fillId="5" borderId="0" xfId="0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" fontId="1" fillId="2" borderId="12" xfId="0" applyNumberFormat="1" applyFont="1" applyFill="1" applyBorder="1" applyAlignment="1">
      <alignment horizontal="center"/>
    </xf>
    <xf numFmtId="164" fontId="1" fillId="6" borderId="13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7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164" fontId="1" fillId="6" borderId="10" xfId="0" applyNumberFormat="1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left"/>
    </xf>
    <xf numFmtId="0" fontId="1" fillId="6" borderId="12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center"/>
    </xf>
    <xf numFmtId="0" fontId="2" fillId="8" borderId="7" xfId="0" applyFont="1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2" fillId="9" borderId="7" xfId="0" applyFont="1" applyFill="1" applyBorder="1"/>
    <xf numFmtId="0" fontId="2" fillId="9" borderId="8" xfId="0" applyFont="1" applyFill="1" applyBorder="1"/>
    <xf numFmtId="0" fontId="2" fillId="9" borderId="9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0" fontId="2" fillId="6" borderId="9" xfId="0" applyFont="1" applyFill="1" applyBorder="1"/>
    <xf numFmtId="0" fontId="2" fillId="11" borderId="7" xfId="0" applyFont="1" applyFill="1" applyBorder="1"/>
    <xf numFmtId="0" fontId="2" fillId="11" borderId="8" xfId="0" applyFont="1" applyFill="1" applyBorder="1"/>
    <xf numFmtId="0" fontId="2" fillId="11" borderId="9" xfId="0" applyFont="1" applyFill="1" applyBorder="1"/>
    <xf numFmtId="0" fontId="6" fillId="12" borderId="7" xfId="0" applyFont="1" applyFill="1" applyBorder="1"/>
    <xf numFmtId="0" fontId="6" fillId="12" borderId="8" xfId="0" applyFont="1" applyFill="1" applyBorder="1"/>
    <xf numFmtId="0" fontId="6" fillId="12" borderId="9" xfId="0" applyFont="1" applyFill="1" applyBorder="1"/>
    <xf numFmtId="0" fontId="8" fillId="13" borderId="7" xfId="0" applyFont="1" applyFill="1" applyBorder="1"/>
    <xf numFmtId="0" fontId="8" fillId="13" borderId="8" xfId="0" applyFont="1" applyFill="1" applyBorder="1"/>
    <xf numFmtId="0" fontId="8" fillId="13" borderId="9" xfId="0" applyFont="1" applyFill="1" applyBorder="1"/>
    <xf numFmtId="0" fontId="6" fillId="14" borderId="7" xfId="0" applyFont="1" applyFill="1" applyBorder="1"/>
    <xf numFmtId="0" fontId="6" fillId="14" borderId="8" xfId="0" applyFont="1" applyFill="1" applyBorder="1"/>
    <xf numFmtId="0" fontId="6" fillId="14" borderId="9" xfId="0" applyFont="1" applyFill="1" applyBorder="1"/>
    <xf numFmtId="0" fontId="8" fillId="9" borderId="7" xfId="0" applyFont="1" applyFill="1" applyBorder="1"/>
    <xf numFmtId="0" fontId="8" fillId="9" borderId="8" xfId="0" applyFont="1" applyFill="1" applyBorder="1"/>
    <xf numFmtId="0" fontId="8" fillId="9" borderId="9" xfId="0" applyFont="1" applyFill="1" applyBorder="1"/>
    <xf numFmtId="0" fontId="6" fillId="15" borderId="7" xfId="0" applyFont="1" applyFill="1" applyBorder="1"/>
    <xf numFmtId="0" fontId="6" fillId="15" borderId="8" xfId="0" applyFont="1" applyFill="1" applyBorder="1"/>
    <xf numFmtId="0" fontId="6" fillId="15" borderId="9" xfId="0" applyFont="1" applyFill="1" applyBorder="1"/>
    <xf numFmtId="0" fontId="8" fillId="16" borderId="7" xfId="0" applyFont="1" applyFill="1" applyBorder="1"/>
    <xf numFmtId="0" fontId="8" fillId="16" borderId="8" xfId="0" applyFont="1" applyFill="1" applyBorder="1"/>
    <xf numFmtId="0" fontId="8" fillId="16" borderId="9" xfId="0" applyFont="1" applyFill="1" applyBorder="1"/>
    <xf numFmtId="0" fontId="2" fillId="17" borderId="7" xfId="0" applyFont="1" applyFill="1" applyBorder="1"/>
    <xf numFmtId="0" fontId="2" fillId="17" borderId="8" xfId="0" applyFont="1" applyFill="1" applyBorder="1"/>
    <xf numFmtId="0" fontId="2" fillId="17" borderId="9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6" fillId="18" borderId="7" xfId="0" applyFont="1" applyFill="1" applyBorder="1"/>
    <xf numFmtId="0" fontId="6" fillId="18" borderId="8" xfId="0" applyFont="1" applyFill="1" applyBorder="1"/>
    <xf numFmtId="0" fontId="6" fillId="18" borderId="9" xfId="0" applyFont="1" applyFill="1" applyBorder="1"/>
    <xf numFmtId="0" fontId="2" fillId="19" borderId="7" xfId="0" applyFont="1" applyFill="1" applyBorder="1"/>
    <xf numFmtId="0" fontId="2" fillId="19" borderId="8" xfId="0" applyFont="1" applyFill="1" applyBorder="1"/>
    <xf numFmtId="0" fontId="2" fillId="19" borderId="9" xfId="0" applyFont="1" applyFill="1" applyBorder="1"/>
    <xf numFmtId="0" fontId="1" fillId="10" borderId="7" xfId="0" applyFont="1" applyFill="1" applyBorder="1"/>
    <xf numFmtId="0" fontId="1" fillId="10" borderId="8" xfId="0" applyFont="1" applyFill="1" applyBorder="1"/>
    <xf numFmtId="0" fontId="1" fillId="10" borderId="9" xfId="0" applyFont="1" applyFill="1" applyBorder="1"/>
    <xf numFmtId="0" fontId="6" fillId="21" borderId="7" xfId="0" applyFont="1" applyFill="1" applyBorder="1"/>
    <xf numFmtId="0" fontId="6" fillId="21" borderId="8" xfId="0" applyFont="1" applyFill="1" applyBorder="1"/>
    <xf numFmtId="0" fontId="6" fillId="21" borderId="9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  <xf numFmtId="0" fontId="8" fillId="17" borderId="7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8" borderId="7" xfId="0" applyFont="1" applyFill="1" applyBorder="1"/>
    <xf numFmtId="0" fontId="6" fillId="8" borderId="8" xfId="0" applyFont="1" applyFill="1" applyBorder="1"/>
    <xf numFmtId="0" fontId="6" fillId="8" borderId="9" xfId="0" applyFont="1" applyFill="1" applyBorder="1"/>
    <xf numFmtId="0" fontId="1" fillId="22" borderId="7" xfId="0" applyFont="1" applyFill="1" applyBorder="1" applyAlignment="1">
      <alignment horizontal="center"/>
    </xf>
    <xf numFmtId="0" fontId="1" fillId="22" borderId="7" xfId="0" applyFont="1" applyFill="1" applyBorder="1"/>
    <xf numFmtId="0" fontId="1" fillId="22" borderId="8" xfId="0" applyFont="1" applyFill="1" applyBorder="1"/>
    <xf numFmtId="0" fontId="1" fillId="22" borderId="9" xfId="0" applyFont="1" applyFill="1" applyBorder="1"/>
    <xf numFmtId="0" fontId="6" fillId="10" borderId="7" xfId="0" applyFont="1" applyFill="1" applyBorder="1"/>
    <xf numFmtId="0" fontId="6" fillId="10" borderId="8" xfId="0" applyFont="1" applyFill="1" applyBorder="1"/>
    <xf numFmtId="0" fontId="6" fillId="10" borderId="9" xfId="0" applyFont="1" applyFill="1" applyBorder="1"/>
    <xf numFmtId="0" fontId="8" fillId="10" borderId="7" xfId="0" applyFont="1" applyFill="1" applyBorder="1" applyAlignment="1">
      <alignment horizontal="center"/>
    </xf>
    <xf numFmtId="0" fontId="8" fillId="22" borderId="7" xfId="0" applyFont="1" applyFill="1" applyBorder="1"/>
    <xf numFmtId="0" fontId="8" fillId="22" borderId="8" xfId="0" applyFont="1" applyFill="1" applyBorder="1"/>
    <xf numFmtId="0" fontId="8" fillId="22" borderId="9" xfId="0" applyFont="1" applyFill="1" applyBorder="1"/>
    <xf numFmtId="0" fontId="8" fillId="22" borderId="7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8" fillId="6" borderId="8" xfId="0" applyFont="1" applyFill="1" applyBorder="1"/>
    <xf numFmtId="0" fontId="8" fillId="6" borderId="9" xfId="0" applyFont="1" applyFill="1" applyBorder="1"/>
    <xf numFmtId="0" fontId="8" fillId="6" borderId="7" xfId="0" applyFont="1" applyFill="1" applyBorder="1"/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1" fillId="22" borderId="7" xfId="0" applyFont="1" applyFill="1" applyBorder="1" applyAlignment="1">
      <alignment horizontal="center"/>
    </xf>
    <xf numFmtId="0" fontId="1" fillId="22" borderId="8" xfId="0" applyFont="1" applyFill="1" applyBorder="1" applyAlignment="1">
      <alignment horizontal="center"/>
    </xf>
    <xf numFmtId="0" fontId="1" fillId="22" borderId="9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1" borderId="9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164" fontId="1" fillId="6" borderId="7" xfId="0" applyNumberFormat="1" applyFont="1" applyFill="1" applyBorder="1" applyAlignment="1">
      <alignment horizontal="center"/>
    </xf>
    <xf numFmtId="164" fontId="1" fillId="6" borderId="8" xfId="0" applyNumberFormat="1" applyFont="1" applyFill="1" applyBorder="1" applyAlignment="1">
      <alignment horizontal="center"/>
    </xf>
    <xf numFmtId="164" fontId="1" fillId="6" borderId="9" xfId="0" applyNumberFormat="1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8" fillId="13" borderId="8" xfId="0" applyFont="1" applyFill="1" applyBorder="1" applyAlignment="1">
      <alignment horizontal="center"/>
    </xf>
    <xf numFmtId="0" fontId="8" fillId="13" borderId="9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6" fillId="18" borderId="8" xfId="0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  <xf numFmtId="0" fontId="8" fillId="16" borderId="8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20" borderId="7" xfId="0" applyFont="1" applyFill="1" applyBorder="1" applyAlignment="1">
      <alignment horizontal="center"/>
    </xf>
    <xf numFmtId="0" fontId="8" fillId="20" borderId="8" xfId="0" applyFont="1" applyFill="1" applyBorder="1" applyAlignment="1">
      <alignment horizontal="center"/>
    </xf>
    <xf numFmtId="0" fontId="8" fillId="20" borderId="9" xfId="0" applyFont="1" applyFill="1" applyBorder="1" applyAlignment="1">
      <alignment horizontal="center"/>
    </xf>
    <xf numFmtId="0" fontId="8" fillId="17" borderId="7" xfId="0" applyFont="1" applyFill="1" applyBorder="1" applyAlignment="1">
      <alignment horizontal="center"/>
    </xf>
    <xf numFmtId="0" fontId="8" fillId="17" borderId="8" xfId="0" applyFont="1" applyFill="1" applyBorder="1" applyAlignment="1">
      <alignment horizontal="center"/>
    </xf>
    <xf numFmtId="0" fontId="8" fillId="17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9" borderId="8" xfId="0" applyFont="1" applyFill="1" applyBorder="1" applyAlignment="1">
      <alignment horizontal="center"/>
    </xf>
    <xf numFmtId="0" fontId="8" fillId="19" borderId="9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8" fillId="22" borderId="7" xfId="0" applyFont="1" applyFill="1" applyBorder="1" applyAlignment="1">
      <alignment horizontal="center"/>
    </xf>
    <xf numFmtId="0" fontId="8" fillId="22" borderId="8" xfId="0" applyFont="1" applyFill="1" applyBorder="1" applyAlignment="1">
      <alignment horizontal="center"/>
    </xf>
    <xf numFmtId="0" fontId="8" fillId="22" borderId="9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21" fontId="1" fillId="2" borderId="2" xfId="0" applyNumberFormat="1" applyFont="1" applyFill="1" applyBorder="1" applyAlignment="1">
      <alignment horizontal="left"/>
    </xf>
    <xf numFmtId="0" fontId="0" fillId="5" borderId="0" xfId="0" applyFill="1" applyBorder="1" applyAlignment="1">
      <alignment horizontal="center"/>
    </xf>
    <xf numFmtId="0" fontId="1" fillId="6" borderId="7" xfId="0" applyFont="1" applyFill="1" applyBorder="1" applyAlignment="1">
      <alignment horizontal="left"/>
    </xf>
    <xf numFmtId="0" fontId="1" fillId="6" borderId="9" xfId="0" applyFont="1" applyFill="1" applyBorder="1" applyAlignment="1">
      <alignment horizontal="left"/>
    </xf>
  </cellXfs>
  <cellStyles count="1">
    <cellStyle name="Normal" xfId="0" builtinId="0"/>
  </cellStyles>
  <dxfs count="332"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D00202"/>
      <color rgb="FFFFCCFF"/>
      <color rgb="FF0033CC"/>
      <color rgb="FF8F3D0F"/>
      <color rgb="FF9A0000"/>
      <color rgb="FFFF4343"/>
      <color rgb="FF4A77D2"/>
      <color rgb="FF3366CC"/>
      <color rgb="FF78223B"/>
      <color rgb="FFF4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5F76-7D89-4DB9-881E-721C49B5536A}">
  <dimension ref="B1:DI121"/>
  <sheetViews>
    <sheetView topLeftCell="I71" zoomScale="70" zoomScaleNormal="70" workbookViewId="0">
      <selection activeCell="DF86" sqref="DF86:DI86"/>
    </sheetView>
  </sheetViews>
  <sheetFormatPr baseColWidth="10" defaultColWidth="11.44140625" defaultRowHeight="14.4" x14ac:dyDescent="0.3"/>
  <cols>
    <col min="1" max="1" width="4" style="44" customWidth="1"/>
    <col min="2" max="2" width="7.6640625" style="45" bestFit="1" customWidth="1"/>
    <col min="3" max="3" width="5.5546875" style="44" bestFit="1" customWidth="1"/>
    <col min="4" max="4" width="18.88671875" style="44" bestFit="1" customWidth="1"/>
    <col min="5" max="5" width="1.6640625" style="46" bestFit="1" customWidth="1"/>
    <col min="6" max="6" width="18.88671875" style="44" bestFit="1" customWidth="1"/>
    <col min="7" max="7" width="3.5546875" style="44" customWidth="1"/>
    <col min="8" max="8" width="1.109375" style="44" customWidth="1"/>
    <col min="9" max="10" width="3.5546875" style="44" customWidth="1"/>
    <col min="11" max="11" width="1.109375" style="44" customWidth="1"/>
    <col min="12" max="12" width="3.5546875" style="44" customWidth="1"/>
    <col min="13" max="13" width="2.88671875" style="44" customWidth="1"/>
    <col min="14" max="14" width="3.5546875" style="44" customWidth="1"/>
    <col min="15" max="15" width="1.109375" style="44" customWidth="1"/>
    <col min="16" max="16" width="3.5546875" style="44" customWidth="1"/>
    <col min="17" max="17" width="2.88671875" style="44" customWidth="1"/>
    <col min="18" max="18" width="3.5546875" style="44" customWidth="1"/>
    <col min="19" max="19" width="1.109375" style="44" customWidth="1"/>
    <col min="20" max="20" width="3.5546875" style="44" customWidth="1"/>
    <col min="21" max="21" width="2.88671875" style="44" customWidth="1"/>
    <col min="22" max="22" width="3.5546875" style="44" customWidth="1"/>
    <col min="23" max="23" width="1.109375" style="44" customWidth="1"/>
    <col min="24" max="24" width="3.5546875" style="44" customWidth="1"/>
    <col min="25" max="25" width="2.88671875" style="44" customWidth="1"/>
    <col min="26" max="26" width="3.5546875" style="44" customWidth="1"/>
    <col min="27" max="27" width="1.109375" style="44" customWidth="1"/>
    <col min="28" max="28" width="3.5546875" style="44" customWidth="1"/>
    <col min="29" max="29" width="2.88671875" style="44" customWidth="1"/>
    <col min="30" max="30" width="3.5546875" style="44" customWidth="1"/>
    <col min="31" max="31" width="1.109375" style="44" customWidth="1"/>
    <col min="32" max="32" width="3.5546875" style="44" customWidth="1"/>
    <col min="33" max="33" width="2.88671875" style="44" customWidth="1"/>
    <col min="34" max="34" width="3.5546875" style="44" customWidth="1"/>
    <col min="35" max="35" width="1.109375" style="44" customWidth="1"/>
    <col min="36" max="36" width="3.5546875" style="44" customWidth="1"/>
    <col min="37" max="37" width="2.88671875" style="44" customWidth="1"/>
    <col min="38" max="38" width="3.5546875" style="44" customWidth="1"/>
    <col min="39" max="39" width="1.109375" style="44" customWidth="1"/>
    <col min="40" max="40" width="3.5546875" style="44" customWidth="1"/>
    <col min="41" max="41" width="2.88671875" style="44" customWidth="1"/>
    <col min="42" max="42" width="3.5546875" style="44" customWidth="1"/>
    <col min="43" max="43" width="1.109375" style="44" customWidth="1"/>
    <col min="44" max="44" width="3.5546875" style="44" customWidth="1"/>
    <col min="45" max="45" width="2.88671875" style="44" customWidth="1"/>
    <col min="46" max="46" width="3.5546875" style="44" customWidth="1"/>
    <col min="47" max="47" width="1.109375" style="44" customWidth="1"/>
    <col min="48" max="48" width="3.5546875" style="44" customWidth="1"/>
    <col min="49" max="49" width="2.88671875" style="44" customWidth="1"/>
    <col min="50" max="50" width="3.5546875" style="44" customWidth="1"/>
    <col min="51" max="51" width="1.109375" style="44" customWidth="1"/>
    <col min="52" max="52" width="3.5546875" style="44" customWidth="1"/>
    <col min="53" max="53" width="2.88671875" style="44" customWidth="1"/>
    <col min="54" max="54" width="3.5546875" style="44" customWidth="1"/>
    <col min="55" max="55" width="1.109375" style="44" customWidth="1"/>
    <col min="56" max="56" width="3.5546875" style="44" customWidth="1"/>
    <col min="57" max="57" width="2.88671875" style="44" customWidth="1"/>
    <col min="58" max="58" width="3.5546875" style="44" customWidth="1"/>
    <col min="59" max="59" width="1.109375" style="44" customWidth="1"/>
    <col min="60" max="60" width="3.5546875" style="44" customWidth="1"/>
    <col min="61" max="61" width="2.88671875" style="44" customWidth="1"/>
    <col min="62" max="62" width="3.5546875" style="44" customWidth="1"/>
    <col min="63" max="63" width="1.109375" style="44" customWidth="1"/>
    <col min="64" max="64" width="3.5546875" style="44" customWidth="1"/>
    <col min="65" max="65" width="2.88671875" style="44" customWidth="1"/>
    <col min="66" max="66" width="3.5546875" style="44" customWidth="1"/>
    <col min="67" max="67" width="1.109375" style="44" customWidth="1"/>
    <col min="68" max="68" width="3.5546875" style="44" customWidth="1"/>
    <col min="69" max="69" width="2.88671875" style="44" customWidth="1"/>
    <col min="70" max="70" width="3.5546875" style="44" customWidth="1"/>
    <col min="71" max="71" width="1.109375" style="44" customWidth="1"/>
    <col min="72" max="72" width="3.5546875" style="44" customWidth="1"/>
    <col min="73" max="73" width="2.88671875" style="44" customWidth="1"/>
    <col min="74" max="74" width="3.5546875" style="44" customWidth="1"/>
    <col min="75" max="75" width="1.109375" style="44" customWidth="1"/>
    <col min="76" max="76" width="3.5546875" style="44" customWidth="1"/>
    <col min="77" max="77" width="2.88671875" style="44" customWidth="1"/>
    <col min="78" max="78" width="3.5546875" style="44" customWidth="1"/>
    <col min="79" max="79" width="1.109375" style="44" customWidth="1"/>
    <col min="80" max="80" width="3.5546875" style="44" customWidth="1"/>
    <col min="81" max="81" width="2.88671875" style="44" customWidth="1"/>
    <col min="82" max="82" width="3.5546875" style="44" customWidth="1"/>
    <col min="83" max="83" width="1.109375" style="44" customWidth="1"/>
    <col min="84" max="84" width="3.5546875" style="44" customWidth="1"/>
    <col min="85" max="85" width="2.88671875" style="44" customWidth="1"/>
    <col min="86" max="86" width="3.5546875" style="44" customWidth="1"/>
    <col min="87" max="87" width="1.109375" style="44" customWidth="1"/>
    <col min="88" max="88" width="3.5546875" style="44" customWidth="1"/>
    <col min="89" max="89" width="2.88671875" style="44" customWidth="1"/>
    <col min="90" max="90" width="3.5546875" style="44" customWidth="1"/>
    <col min="91" max="91" width="1.109375" style="44" customWidth="1"/>
    <col min="92" max="92" width="3.5546875" style="44" customWidth="1"/>
    <col min="93" max="93" width="2.88671875" style="44" customWidth="1"/>
    <col min="94" max="94" width="3.5546875" style="44" customWidth="1"/>
    <col min="95" max="95" width="1.109375" style="44" customWidth="1"/>
    <col min="96" max="96" width="3.5546875" style="44" customWidth="1"/>
    <col min="97" max="97" width="2.88671875" style="44" customWidth="1"/>
    <col min="98" max="98" width="3.5546875" style="44" customWidth="1"/>
    <col min="99" max="99" width="1.109375" style="44" customWidth="1"/>
    <col min="100" max="100" width="3.5546875" style="44" customWidth="1"/>
    <col min="101" max="101" width="2.88671875" style="44" customWidth="1"/>
    <col min="102" max="102" width="3.5546875" style="44" customWidth="1"/>
    <col min="103" max="103" width="1.109375" style="44" customWidth="1"/>
    <col min="104" max="104" width="3.5546875" style="44" customWidth="1"/>
    <col min="105" max="105" width="2.88671875" style="44" customWidth="1"/>
    <col min="106" max="106" width="3.5546875" style="44" customWidth="1"/>
    <col min="107" max="107" width="1.109375" style="44" customWidth="1"/>
    <col min="108" max="108" width="3.5546875" style="44" customWidth="1"/>
    <col min="109" max="109" width="2.88671875" style="44" customWidth="1"/>
    <col min="110" max="110" width="3.5546875" style="44" customWidth="1"/>
    <col min="111" max="111" width="1.109375" style="44" customWidth="1"/>
    <col min="112" max="112" width="3.5546875" style="44" customWidth="1"/>
    <col min="113" max="113" width="2.88671875" style="44" customWidth="1"/>
    <col min="114" max="16384" width="11.44140625" style="44"/>
  </cols>
  <sheetData>
    <row r="1" spans="2:113" ht="15" thickBot="1" x14ac:dyDescent="0.35"/>
    <row r="2" spans="2:113" ht="15" thickBot="1" x14ac:dyDescent="0.35">
      <c r="B2" s="51" t="s">
        <v>77</v>
      </c>
      <c r="C2" s="52" t="s">
        <v>78</v>
      </c>
      <c r="D2" s="157" t="s">
        <v>0</v>
      </c>
      <c r="E2" s="158"/>
      <c r="F2" s="159"/>
      <c r="G2" s="53" t="s">
        <v>7</v>
      </c>
      <c r="H2" s="54"/>
      <c r="I2" s="55"/>
      <c r="J2" s="160" t="s">
        <v>147</v>
      </c>
      <c r="K2" s="161"/>
      <c r="L2" s="161"/>
      <c r="M2" s="162"/>
      <c r="N2" s="166" t="s">
        <v>148</v>
      </c>
      <c r="O2" s="167"/>
      <c r="P2" s="167"/>
      <c r="Q2" s="168"/>
      <c r="R2" s="172" t="s">
        <v>149</v>
      </c>
      <c r="S2" s="173"/>
      <c r="T2" s="173"/>
      <c r="U2" s="174"/>
      <c r="V2" s="175" t="s">
        <v>150</v>
      </c>
      <c r="W2" s="176"/>
      <c r="X2" s="176"/>
      <c r="Y2" s="177"/>
      <c r="Z2" s="169" t="s">
        <v>151</v>
      </c>
      <c r="AA2" s="170"/>
      <c r="AB2" s="170"/>
      <c r="AC2" s="171"/>
      <c r="AD2" s="178" t="s">
        <v>152</v>
      </c>
      <c r="AE2" s="179"/>
      <c r="AF2" s="179"/>
      <c r="AG2" s="180"/>
      <c r="AH2" s="181" t="s">
        <v>163</v>
      </c>
      <c r="AI2" s="182"/>
      <c r="AJ2" s="182"/>
      <c r="AK2" s="183"/>
      <c r="AL2" s="190" t="s">
        <v>157</v>
      </c>
      <c r="AM2" s="191"/>
      <c r="AN2" s="191"/>
      <c r="AO2" s="192"/>
      <c r="AP2" s="193" t="s">
        <v>153</v>
      </c>
      <c r="AQ2" s="194"/>
      <c r="AR2" s="194"/>
      <c r="AS2" s="195"/>
      <c r="AT2" s="196" t="s">
        <v>154</v>
      </c>
      <c r="AU2" s="197"/>
      <c r="AV2" s="197"/>
      <c r="AW2" s="198"/>
      <c r="AX2" s="166" t="s">
        <v>155</v>
      </c>
      <c r="AY2" s="167"/>
      <c r="AZ2" s="167"/>
      <c r="BA2" s="168"/>
      <c r="BB2" s="187" t="s">
        <v>161</v>
      </c>
      <c r="BC2" s="188"/>
      <c r="BD2" s="188"/>
      <c r="BE2" s="189"/>
      <c r="BF2" s="202" t="s">
        <v>156</v>
      </c>
      <c r="BG2" s="203"/>
      <c r="BH2" s="203"/>
      <c r="BI2" s="204"/>
      <c r="BJ2" s="208" t="s">
        <v>162</v>
      </c>
      <c r="BK2" s="209"/>
      <c r="BL2" s="209"/>
      <c r="BM2" s="210"/>
      <c r="BN2" s="211" t="s">
        <v>6</v>
      </c>
      <c r="BO2" s="212"/>
      <c r="BP2" s="212"/>
      <c r="BQ2" s="213"/>
      <c r="BR2" s="190" t="s">
        <v>164</v>
      </c>
      <c r="BS2" s="191"/>
      <c r="BT2" s="191"/>
      <c r="BU2" s="192"/>
      <c r="BV2" s="223" t="s">
        <v>158</v>
      </c>
      <c r="BW2" s="224"/>
      <c r="BX2" s="224"/>
      <c r="BY2" s="225"/>
      <c r="BZ2" s="193" t="s">
        <v>159</v>
      </c>
      <c r="CA2" s="194"/>
      <c r="CB2" s="194"/>
      <c r="CC2" s="195"/>
      <c r="CD2" s="199" t="s">
        <v>160</v>
      </c>
      <c r="CE2" s="200"/>
      <c r="CF2" s="200"/>
      <c r="CG2" s="201"/>
      <c r="CH2" s="214" t="s">
        <v>165</v>
      </c>
      <c r="CI2" s="215"/>
      <c r="CJ2" s="215"/>
      <c r="CK2" s="216"/>
      <c r="CL2" s="175" t="s">
        <v>166</v>
      </c>
      <c r="CM2" s="176"/>
      <c r="CN2" s="176"/>
      <c r="CO2" s="177"/>
      <c r="CP2" s="220" t="s">
        <v>167</v>
      </c>
      <c r="CQ2" s="221"/>
      <c r="CR2" s="221"/>
      <c r="CS2" s="222"/>
      <c r="CT2" s="166" t="s">
        <v>168</v>
      </c>
      <c r="CU2" s="167"/>
      <c r="CV2" s="167"/>
      <c r="CW2" s="168"/>
      <c r="CX2" s="160" t="s">
        <v>169</v>
      </c>
      <c r="CY2" s="161"/>
      <c r="CZ2" s="161"/>
      <c r="DA2" s="162"/>
      <c r="DB2" s="163" t="s">
        <v>170</v>
      </c>
      <c r="DC2" s="164"/>
      <c r="DD2" s="164"/>
      <c r="DE2" s="165"/>
      <c r="DF2" s="157" t="s">
        <v>238</v>
      </c>
      <c r="DG2" s="158"/>
      <c r="DH2" s="158"/>
      <c r="DI2" s="159"/>
    </row>
    <row r="3" spans="2:113" x14ac:dyDescent="0.3">
      <c r="B3" s="12">
        <v>46184</v>
      </c>
      <c r="C3" s="7" t="s">
        <v>63</v>
      </c>
      <c r="D3" s="3" t="s">
        <v>2</v>
      </c>
      <c r="E3" s="1" t="s">
        <v>1</v>
      </c>
      <c r="F3" s="5" t="s">
        <v>3</v>
      </c>
      <c r="G3" s="3">
        <v>2</v>
      </c>
      <c r="H3" s="1" t="s">
        <v>1</v>
      </c>
      <c r="I3" s="5">
        <v>0</v>
      </c>
      <c r="J3" s="3">
        <v>2</v>
      </c>
      <c r="K3" s="1" t="s">
        <v>1</v>
      </c>
      <c r="L3" s="7">
        <v>0</v>
      </c>
      <c r="M3" s="11">
        <f>IF(ISBLANK($I3)=TRUE,"",IF(SIGN(J3-L3)=SIGN($G3-$I3),1,0)+IF(J3=$G3,IF(L3=$I3,2,0),0))</f>
        <v>3</v>
      </c>
      <c r="N3" s="3">
        <v>2</v>
      </c>
      <c r="O3" s="1" t="s">
        <v>1</v>
      </c>
      <c r="P3" s="7">
        <v>0</v>
      </c>
      <c r="Q3" s="11">
        <f>IF(ISBLANK($I3)=TRUE,"",IF(SIGN(N3-P3)=SIGN($G3-$I3),1,0)+IF(N3=$G3,IF(P3=$I3,2,0),0))</f>
        <v>3</v>
      </c>
      <c r="R3" s="3">
        <v>2</v>
      </c>
      <c r="S3" s="1" t="s">
        <v>1</v>
      </c>
      <c r="T3" s="7">
        <v>1</v>
      </c>
      <c r="U3" s="11">
        <f>IF(ISBLANK($I3)=TRUE,"",IF(SIGN(R3-T3)=SIGN($G3-$I3),1,0)+IF(R3=$G3,IF(T3=$I3,2,0),0))</f>
        <v>1</v>
      </c>
      <c r="V3" s="3">
        <v>3</v>
      </c>
      <c r="W3" s="1" t="s">
        <v>1</v>
      </c>
      <c r="X3" s="7">
        <v>0</v>
      </c>
      <c r="Y3" s="11">
        <f>IF(ISBLANK($I3)=TRUE,"",IF(SIGN(V3-X3)=SIGN($G3-$I3),1,0)+IF(V3=$G3,IF(X3=$I3,2,0),0))</f>
        <v>1</v>
      </c>
      <c r="Z3" s="3">
        <v>2</v>
      </c>
      <c r="AA3" s="1" t="s">
        <v>1</v>
      </c>
      <c r="AB3" s="7">
        <v>0</v>
      </c>
      <c r="AC3" s="11">
        <f>IF(ISBLANK($I3)=TRUE,"",IF(SIGN(Z3-AB3)=SIGN($G3-$I3),1,0)+IF(Z3=$G3,IF(AB3=$I3,2,0),0))</f>
        <v>3</v>
      </c>
      <c r="AD3" s="3">
        <v>3</v>
      </c>
      <c r="AE3" s="1" t="s">
        <v>1</v>
      </c>
      <c r="AF3" s="7">
        <v>0</v>
      </c>
      <c r="AG3" s="11">
        <f>IF(ISBLANK($I3)=TRUE,"",IF(SIGN(AD3-AF3)=SIGN($G3-$I3),1,0)+IF(AD3=$G3,IF(AF3=$I3,2,0),0))</f>
        <v>1</v>
      </c>
      <c r="AH3" s="3">
        <v>1</v>
      </c>
      <c r="AI3" s="1" t="s">
        <v>1</v>
      </c>
      <c r="AJ3" s="7">
        <v>0</v>
      </c>
      <c r="AK3" s="11">
        <f>IF(ISBLANK($I3)=TRUE,"",IF(SIGN(AH3-AJ3)=SIGN($G3-$I3),1,0)+IF(AH3=$G3,IF(AJ3=$I3,2,0),0))</f>
        <v>1</v>
      </c>
      <c r="AL3" s="3">
        <v>1</v>
      </c>
      <c r="AM3" s="1" t="s">
        <v>1</v>
      </c>
      <c r="AN3" s="7">
        <v>0</v>
      </c>
      <c r="AO3" s="11">
        <f>IF(ISBLANK($I3)=TRUE,"",IF(SIGN(AL3-AN3)=SIGN($G3-$I3),1,0)+IF(AL3=$G3,IF(AN3=$I3,2,0),0))</f>
        <v>1</v>
      </c>
      <c r="AP3" s="3">
        <v>1</v>
      </c>
      <c r="AQ3" s="1" t="s">
        <v>1</v>
      </c>
      <c r="AR3" s="7">
        <v>0</v>
      </c>
      <c r="AS3" s="11">
        <f>IF(ISBLANK($I3)=TRUE,"",IF(SIGN(AP3-AR3)=SIGN($G3-$I3),1,0)+IF(AP3=$G3,IF(AR3=$I3,2,0),0))</f>
        <v>1</v>
      </c>
      <c r="AT3" s="3">
        <v>2</v>
      </c>
      <c r="AU3" s="1" t="s">
        <v>1</v>
      </c>
      <c r="AV3" s="7">
        <v>0</v>
      </c>
      <c r="AW3" s="11">
        <f>IF(ISBLANK($I3)=TRUE,"",IF(SIGN(AT3-AV3)=SIGN($G3-$I3),1,0)+IF(AT3=$G3,IF(AV3=$I3,2,0),0))</f>
        <v>3</v>
      </c>
      <c r="AX3" s="3">
        <v>3</v>
      </c>
      <c r="AY3" s="1" t="s">
        <v>1</v>
      </c>
      <c r="AZ3" s="7">
        <v>1</v>
      </c>
      <c r="BA3" s="11">
        <f>IF(ISBLANK($I3)=TRUE,"",IF(SIGN(AX3-AZ3)=SIGN($G3-$I3),1,0)+IF(AX3=$G3,IF(AZ3=$I3,2,0),0))</f>
        <v>1</v>
      </c>
      <c r="BB3" s="3">
        <v>3</v>
      </c>
      <c r="BC3" s="1" t="s">
        <v>1</v>
      </c>
      <c r="BD3" s="7">
        <v>1</v>
      </c>
      <c r="BE3" s="11">
        <f>IF(ISBLANK($I3)=TRUE,"",IF(SIGN(BB3-BD3)=SIGN($G3-$I3),1,0)+IF(BB3=$G3,IF(BD3=$I3,2,0),0))</f>
        <v>1</v>
      </c>
      <c r="BF3" s="3">
        <v>2</v>
      </c>
      <c r="BG3" s="1" t="s">
        <v>1</v>
      </c>
      <c r="BH3" s="7">
        <v>0</v>
      </c>
      <c r="BI3" s="11">
        <f>IF(ISBLANK($I3)=TRUE,"",IF(SIGN(BF3-BH3)=SIGN($G3-$I3),1,0)+IF(BF3=$G3,IF(BH3=$I3,2,0),0))</f>
        <v>3</v>
      </c>
      <c r="BJ3" s="3">
        <v>1</v>
      </c>
      <c r="BK3" s="1" t="s">
        <v>1</v>
      </c>
      <c r="BL3" s="7">
        <v>0</v>
      </c>
      <c r="BM3" s="11">
        <f>IF(ISBLANK($I3)=TRUE,"",IF(SIGN(BJ3-BL3)=SIGN($G3-$I3),1,0)+IF(BJ3=$G3,IF(BL3=$I3,2,0),0))</f>
        <v>1</v>
      </c>
      <c r="BN3" s="3">
        <v>2</v>
      </c>
      <c r="BO3" s="1" t="s">
        <v>1</v>
      </c>
      <c r="BP3" s="7">
        <v>0</v>
      </c>
      <c r="BQ3" s="11">
        <f>IF(ISBLANK($I3)=TRUE,"",IF(SIGN(BN3-BP3)=SIGN($G3-$I3),1,0)+IF(BN3=$G3,IF(BP3=$I3,2,0),0))</f>
        <v>3</v>
      </c>
      <c r="BR3" s="3">
        <v>2</v>
      </c>
      <c r="BS3" s="1" t="s">
        <v>1</v>
      </c>
      <c r="BT3" s="7">
        <v>0</v>
      </c>
      <c r="BU3" s="11">
        <f>IF(ISBLANK($I3)=TRUE,"",IF(SIGN(BR3-BT3)=SIGN($G3-$I3),1,0)+IF(BR3=$G3,IF(BT3=$I3,2,0),0))</f>
        <v>3</v>
      </c>
      <c r="BV3" s="3">
        <v>2</v>
      </c>
      <c r="BW3" s="1" t="s">
        <v>1</v>
      </c>
      <c r="BX3" s="7">
        <v>0</v>
      </c>
      <c r="BY3" s="11">
        <f>IF(ISBLANK($I3)=TRUE,"",IF(SIGN(BV3-BX3)=SIGN($G3-$I3),1,0)+IF(BV3=$G3,IF(BX3=$I3,2,0),0))</f>
        <v>3</v>
      </c>
      <c r="BZ3" s="3">
        <v>3</v>
      </c>
      <c r="CA3" s="1" t="s">
        <v>1</v>
      </c>
      <c r="CB3" s="7">
        <v>1</v>
      </c>
      <c r="CC3" s="11">
        <f>IF(ISBLANK($I3)=TRUE,"",IF(SIGN(BZ3-CB3)=SIGN($G3-$I3),1,0)+IF(BZ3=$G3,IF(CB3=$I3,2,0),0))</f>
        <v>1</v>
      </c>
      <c r="CD3" s="3">
        <v>2</v>
      </c>
      <c r="CE3" s="1" t="s">
        <v>1</v>
      </c>
      <c r="CF3" s="7">
        <v>0</v>
      </c>
      <c r="CG3" s="11">
        <f>IF(ISBLANK($I3)=TRUE,"",IF(SIGN(CD3-CF3)=SIGN($G3-$I3),1,0)+IF(CD3=$G3,IF(CF3=$I3,2,0),0))</f>
        <v>3</v>
      </c>
      <c r="CH3" s="3">
        <v>3</v>
      </c>
      <c r="CI3" s="1" t="s">
        <v>1</v>
      </c>
      <c r="CJ3" s="7">
        <v>1</v>
      </c>
      <c r="CK3" s="11">
        <f>IF(ISBLANK($I3)=TRUE,"",IF(SIGN(CH3-CJ3)=SIGN($G3-$I3),1,0)+IF(CH3=$G3,IF(CJ3=$I3,2,0),0))</f>
        <v>1</v>
      </c>
      <c r="CL3" s="3">
        <v>2</v>
      </c>
      <c r="CM3" s="1" t="s">
        <v>1</v>
      </c>
      <c r="CN3" s="7">
        <v>1</v>
      </c>
      <c r="CO3" s="11">
        <f>IF(ISBLANK($I3)=TRUE,"",IF(SIGN(CL3-CN3)=SIGN($G3-$I3),1,0)+IF(CL3=$G3,IF(CN3=$I3,2,0),0))</f>
        <v>1</v>
      </c>
      <c r="CP3" s="3">
        <v>3</v>
      </c>
      <c r="CQ3" s="1" t="s">
        <v>1</v>
      </c>
      <c r="CR3" s="7">
        <v>1</v>
      </c>
      <c r="CS3" s="11">
        <f>IF(ISBLANK($I3)=TRUE,"",IF(SIGN(CP3-CR3)=SIGN($G3-$I3),1,0)+IF(CP3=$G3,IF(CR3=$I3,2,0),0))</f>
        <v>1</v>
      </c>
      <c r="CT3" s="3">
        <v>2</v>
      </c>
      <c r="CU3" s="1" t="s">
        <v>1</v>
      </c>
      <c r="CV3" s="7">
        <v>0</v>
      </c>
      <c r="CW3" s="11">
        <f>IF(ISBLANK($I3)=TRUE,"",IF(SIGN(CT3-CV3)=SIGN($G3-$I3),1,0)+IF(CT3=$G3,IF(CV3=$I3,2,0),0))</f>
        <v>3</v>
      </c>
      <c r="CX3" s="3">
        <v>1</v>
      </c>
      <c r="CY3" s="1" t="s">
        <v>1</v>
      </c>
      <c r="CZ3" s="7">
        <v>0</v>
      </c>
      <c r="DA3" s="11">
        <f>IF(ISBLANK($I3)=TRUE,"",IF(SIGN(CX3-CZ3)=SIGN($G3-$I3),1,0)+IF(CX3=$G3,IF(CZ3=$I3,2,0),0))</f>
        <v>1</v>
      </c>
      <c r="DB3" s="3">
        <v>2</v>
      </c>
      <c r="DC3" s="1" t="s">
        <v>1</v>
      </c>
      <c r="DD3" s="7">
        <v>1</v>
      </c>
      <c r="DE3" s="11">
        <f>IF(ISBLANK($I3)=TRUE,"",IF(SIGN(DB3-DD3)=SIGN($G3-$I3),1,0)+IF(DB3=$G3,IF(DD3=$I3,2,0),0))</f>
        <v>1</v>
      </c>
      <c r="DF3" s="3">
        <v>1</v>
      </c>
      <c r="DG3" s="1" t="s">
        <v>1</v>
      </c>
      <c r="DH3" s="7">
        <v>0</v>
      </c>
      <c r="DI3" s="11">
        <f>IF(ISBLANK($I3)=TRUE,"",IF(SIGN(DF3-DH3)=SIGN($G3-$I3),1,0)+IF(DF3=$G3,IF(DH3=$I3,2,0),0))</f>
        <v>1</v>
      </c>
    </row>
    <row r="4" spans="2:113" x14ac:dyDescent="0.3">
      <c r="B4" s="12">
        <v>46185</v>
      </c>
      <c r="C4" s="7" t="s">
        <v>64</v>
      </c>
      <c r="D4" s="3" t="s">
        <v>4</v>
      </c>
      <c r="E4" s="1" t="s">
        <v>1</v>
      </c>
      <c r="F4" s="5" t="s">
        <v>5</v>
      </c>
      <c r="G4" s="3">
        <v>2</v>
      </c>
      <c r="H4" s="1" t="s">
        <v>1</v>
      </c>
      <c r="I4" s="5">
        <v>1</v>
      </c>
      <c r="J4" s="3">
        <v>1</v>
      </c>
      <c r="K4" s="1" t="s">
        <v>1</v>
      </c>
      <c r="L4" s="7">
        <v>1</v>
      </c>
      <c r="M4" s="9">
        <f t="shared" ref="M4:M8" si="0">IF(ISBLANK($G4)=TRUE,"",IF(SIGN(J4-L4)=SIGN($G4-$I4),1,0)+IF(J4=$G4,IF(L4=$I4,2,0),0))</f>
        <v>0</v>
      </c>
      <c r="N4" s="3">
        <v>1</v>
      </c>
      <c r="O4" s="1" t="s">
        <v>1</v>
      </c>
      <c r="P4" s="7">
        <v>1</v>
      </c>
      <c r="Q4" s="9">
        <f t="shared" ref="Q4:Q8" si="1">IF(ISBLANK($G4)=TRUE,"",IF(SIGN(N4-P4)=SIGN($G4-$I4),1,0)+IF(N4=$G4,IF(P4=$I4,2,0),0))</f>
        <v>0</v>
      </c>
      <c r="R4" s="3">
        <v>1</v>
      </c>
      <c r="S4" s="1" t="s">
        <v>1</v>
      </c>
      <c r="T4" s="7">
        <v>1</v>
      </c>
      <c r="U4" s="9">
        <f t="shared" ref="U4:U8" si="2">IF(ISBLANK($G4)=TRUE,"",IF(SIGN(R4-T4)=SIGN($G4-$I4),1,0)+IF(R4=$G4,IF(T4=$I4,2,0),0))</f>
        <v>0</v>
      </c>
      <c r="V4" s="3">
        <v>2</v>
      </c>
      <c r="W4" s="1" t="s">
        <v>1</v>
      </c>
      <c r="X4" s="7">
        <v>1</v>
      </c>
      <c r="Y4" s="9">
        <f t="shared" ref="Y4:Y8" si="3">IF(ISBLANK($G4)=TRUE,"",IF(SIGN(V4-X4)=SIGN($G4-$I4),1,0)+IF(V4=$G4,IF(X4=$I4,2,0),0))</f>
        <v>3</v>
      </c>
      <c r="Z4" s="3">
        <v>1</v>
      </c>
      <c r="AA4" s="1" t="s">
        <v>1</v>
      </c>
      <c r="AB4" s="7">
        <v>1</v>
      </c>
      <c r="AC4" s="9">
        <f t="shared" ref="AC4:AC8" si="4">IF(ISBLANK($G4)=TRUE,"",IF(SIGN(Z4-AB4)=SIGN($G4-$I4),1,0)+IF(Z4=$G4,IF(AB4=$I4,2,0),0))</f>
        <v>0</v>
      </c>
      <c r="AD4" s="3">
        <v>2</v>
      </c>
      <c r="AE4" s="1" t="s">
        <v>1</v>
      </c>
      <c r="AF4" s="7">
        <v>1</v>
      </c>
      <c r="AG4" s="9">
        <f t="shared" ref="AG4:AG8" si="5">IF(ISBLANK($G4)=TRUE,"",IF(SIGN(AD4-AF4)=SIGN($G4-$I4),1,0)+IF(AD4=$G4,IF(AF4=$I4,2,0),0))</f>
        <v>3</v>
      </c>
      <c r="AH4" s="3">
        <v>0</v>
      </c>
      <c r="AI4" s="1" t="s">
        <v>1</v>
      </c>
      <c r="AJ4" s="7">
        <v>1</v>
      </c>
      <c r="AK4" s="9">
        <f t="shared" ref="AK4:AK8" si="6">IF(ISBLANK($G4)=TRUE,"",IF(SIGN(AH4-AJ4)=SIGN($G4-$I4),1,0)+IF(AH4=$G4,IF(AJ4=$I4,2,0),0))</f>
        <v>0</v>
      </c>
      <c r="AL4" s="3">
        <v>0</v>
      </c>
      <c r="AM4" s="1" t="s">
        <v>1</v>
      </c>
      <c r="AN4" s="7">
        <v>0</v>
      </c>
      <c r="AO4" s="9">
        <f t="shared" ref="AO4:AO8" si="7">IF(ISBLANK($G4)=TRUE,"",IF(SIGN(AL4-AN4)=SIGN($G4-$I4),1,0)+IF(AL4=$G4,IF(AN4=$I4,2,0),0))</f>
        <v>0</v>
      </c>
      <c r="AP4" s="3">
        <v>1</v>
      </c>
      <c r="AQ4" s="1" t="s">
        <v>1</v>
      </c>
      <c r="AR4" s="7">
        <v>2</v>
      </c>
      <c r="AS4" s="9">
        <f t="shared" ref="AS4:AS8" si="8">IF(ISBLANK($G4)=TRUE,"",IF(SIGN(AP4-AR4)=SIGN($G4-$I4),1,0)+IF(AP4=$G4,IF(AR4=$I4,2,0),0))</f>
        <v>0</v>
      </c>
      <c r="AT4" s="3">
        <v>1</v>
      </c>
      <c r="AU4" s="1" t="s">
        <v>1</v>
      </c>
      <c r="AV4" s="7">
        <v>1</v>
      </c>
      <c r="AW4" s="9">
        <f t="shared" ref="AW4:AW8" si="9">IF(ISBLANK($G4)=TRUE,"",IF(SIGN(AT4-AV4)=SIGN($G4-$I4),1,0)+IF(AT4=$G4,IF(AV4=$I4,2,0),0))</f>
        <v>0</v>
      </c>
      <c r="AX4" s="3">
        <v>0</v>
      </c>
      <c r="AY4" s="1" t="s">
        <v>1</v>
      </c>
      <c r="AZ4" s="7">
        <v>2</v>
      </c>
      <c r="BA4" s="9">
        <f t="shared" ref="BA4:BA8" si="10">IF(ISBLANK($G4)=TRUE,"",IF(SIGN(AX4-AZ4)=SIGN($G4-$I4),1,0)+IF(AX4=$G4,IF(AZ4=$I4,2,0),0))</f>
        <v>0</v>
      </c>
      <c r="BB4" s="3">
        <v>1</v>
      </c>
      <c r="BC4" s="1" t="s">
        <v>1</v>
      </c>
      <c r="BD4" s="7">
        <v>1</v>
      </c>
      <c r="BE4" s="9">
        <f t="shared" ref="BE4:BE8" si="11">IF(ISBLANK($G4)=TRUE,"",IF(SIGN(BB4-BD4)=SIGN($G4-$I4),1,0)+IF(BB4=$G4,IF(BD4=$I4,2,0),0))</f>
        <v>0</v>
      </c>
      <c r="BF4" s="3">
        <v>2</v>
      </c>
      <c r="BG4" s="1" t="s">
        <v>1</v>
      </c>
      <c r="BH4" s="7">
        <v>0</v>
      </c>
      <c r="BI4" s="9">
        <f t="shared" ref="BI4:BI8" si="12">IF(ISBLANK($G4)=TRUE,"",IF(SIGN(BF4-BH4)=SIGN($G4-$I4),1,0)+IF(BF4=$G4,IF(BH4=$I4,2,0),0))</f>
        <v>1</v>
      </c>
      <c r="BJ4" s="3">
        <v>1</v>
      </c>
      <c r="BK4" s="1" t="s">
        <v>1</v>
      </c>
      <c r="BL4" s="7">
        <v>1</v>
      </c>
      <c r="BM4" s="9">
        <f t="shared" ref="BM4:BM8" si="13">IF(ISBLANK($G4)=TRUE,"",IF(SIGN(BJ4-BL4)=SIGN($G4-$I4),1,0)+IF(BJ4=$G4,IF(BL4=$I4,2,0),0))</f>
        <v>0</v>
      </c>
      <c r="BN4" s="3">
        <v>1</v>
      </c>
      <c r="BO4" s="1" t="s">
        <v>1</v>
      </c>
      <c r="BP4" s="7">
        <v>1</v>
      </c>
      <c r="BQ4" s="9">
        <f t="shared" ref="BQ4:BQ8" si="14">IF(ISBLANK($G4)=TRUE,"",IF(SIGN(BN4-BP4)=SIGN($G4-$I4),1,0)+IF(BN4=$G4,IF(BP4=$I4,2,0),0))</f>
        <v>0</v>
      </c>
      <c r="BR4" s="3">
        <v>2</v>
      </c>
      <c r="BS4" s="1" t="s">
        <v>1</v>
      </c>
      <c r="BT4" s="7">
        <v>1</v>
      </c>
      <c r="BU4" s="9">
        <f t="shared" ref="BU4:BU8" si="15">IF(ISBLANK($G4)=TRUE,"",IF(SIGN(BR4-BT4)=SIGN($G4-$I4),1,0)+IF(BR4=$G4,IF(BT4=$I4,2,0),0))</f>
        <v>3</v>
      </c>
      <c r="BV4" s="3">
        <v>2</v>
      </c>
      <c r="BW4" s="1" t="s">
        <v>1</v>
      </c>
      <c r="BX4" s="7">
        <v>1</v>
      </c>
      <c r="BY4" s="9">
        <f t="shared" ref="BY4:BY8" si="16">IF(ISBLANK($G4)=TRUE,"",IF(SIGN(BV4-BX4)=SIGN($G4-$I4),1,0)+IF(BV4=$G4,IF(BX4=$I4,2,0),0))</f>
        <v>3</v>
      </c>
      <c r="BZ4" s="3">
        <v>2</v>
      </c>
      <c r="CA4" s="1" t="s">
        <v>1</v>
      </c>
      <c r="CB4" s="7">
        <v>3</v>
      </c>
      <c r="CC4" s="9">
        <f t="shared" ref="CC4:CC8" si="17">IF(ISBLANK($G4)=TRUE,"",IF(SIGN(BZ4-CB4)=SIGN($G4-$I4),1,0)+IF(BZ4=$G4,IF(CB4=$I4,2,0),0))</f>
        <v>0</v>
      </c>
      <c r="CD4" s="3">
        <v>1</v>
      </c>
      <c r="CE4" s="1" t="s">
        <v>1</v>
      </c>
      <c r="CF4" s="7">
        <v>1</v>
      </c>
      <c r="CG4" s="9">
        <f t="shared" ref="CG4:CG8" si="18">IF(ISBLANK($G4)=TRUE,"",IF(SIGN(CD4-CF4)=SIGN($G4-$I4),1,0)+IF(CD4=$G4,IF(CF4=$I4,2,0),0))</f>
        <v>0</v>
      </c>
      <c r="CH4" s="3">
        <v>2</v>
      </c>
      <c r="CI4" s="1" t="s">
        <v>1</v>
      </c>
      <c r="CJ4" s="7">
        <v>2</v>
      </c>
      <c r="CK4" s="9">
        <f t="shared" ref="CK4:CK8" si="19">IF(ISBLANK($G4)=TRUE,"",IF(SIGN(CH4-CJ4)=SIGN($G4-$I4),1,0)+IF(CH4=$G4,IF(CJ4=$I4,2,0),0))</f>
        <v>0</v>
      </c>
      <c r="CL4" s="3">
        <v>1</v>
      </c>
      <c r="CM4" s="1" t="s">
        <v>1</v>
      </c>
      <c r="CN4" s="7">
        <v>1</v>
      </c>
      <c r="CO4" s="9">
        <f t="shared" ref="CO4:CO8" si="20">IF(ISBLANK($G4)=TRUE,"",IF(SIGN(CL4-CN4)=SIGN($G4-$I4),1,0)+IF(CL4=$G4,IF(CN4=$I4,2,0),0))</f>
        <v>0</v>
      </c>
      <c r="CP4" s="3">
        <v>1</v>
      </c>
      <c r="CQ4" s="1" t="s">
        <v>1</v>
      </c>
      <c r="CR4" s="7">
        <v>2</v>
      </c>
      <c r="CS4" s="9">
        <f t="shared" ref="CS4:CS8" si="21">IF(ISBLANK($G4)=TRUE,"",IF(SIGN(CP4-CR4)=SIGN($G4-$I4),1,0)+IF(CP4=$G4,IF(CR4=$I4,2,0),0))</f>
        <v>0</v>
      </c>
      <c r="CT4" s="3">
        <v>2</v>
      </c>
      <c r="CU4" s="1" t="s">
        <v>1</v>
      </c>
      <c r="CV4" s="7">
        <v>1</v>
      </c>
      <c r="CW4" s="9">
        <f t="shared" ref="CW4:CW8" si="22">IF(ISBLANK($G4)=TRUE,"",IF(SIGN(CT4-CV4)=SIGN($G4-$I4),1,0)+IF(CT4=$G4,IF(CV4=$I4,2,0),0))</f>
        <v>3</v>
      </c>
      <c r="CX4" s="3">
        <v>1</v>
      </c>
      <c r="CY4" s="1" t="s">
        <v>1</v>
      </c>
      <c r="CZ4" s="7">
        <v>1</v>
      </c>
      <c r="DA4" s="9">
        <f t="shared" ref="DA4:DA8" si="23">IF(ISBLANK($G4)=TRUE,"",IF(SIGN(CX4-CZ4)=SIGN($G4-$I4),1,0)+IF(CX4=$G4,IF(CZ4=$I4,2,0),0))</f>
        <v>0</v>
      </c>
      <c r="DB4" s="3">
        <v>3</v>
      </c>
      <c r="DC4" s="1" t="s">
        <v>1</v>
      </c>
      <c r="DD4" s="7">
        <v>1</v>
      </c>
      <c r="DE4" s="9">
        <f t="shared" ref="DE4:DE8" si="24">IF(ISBLANK($G4)=TRUE,"",IF(SIGN(DB4-DD4)=SIGN($G4-$I4),1,0)+IF(DB4=$G4,IF(DD4=$I4,2,0),0))</f>
        <v>1</v>
      </c>
      <c r="DF4" s="3">
        <v>0</v>
      </c>
      <c r="DG4" s="1" t="s">
        <v>1</v>
      </c>
      <c r="DH4" s="7">
        <v>2</v>
      </c>
      <c r="DI4" s="9">
        <f t="shared" ref="DI4:DI8" si="25">IF(ISBLANK($G4)=TRUE,"",IF(SIGN(DF4-DH4)=SIGN($G4-$I4),1,0)+IF(DF4=$G4,IF(DH4=$I4,2,0),0))</f>
        <v>0</v>
      </c>
    </row>
    <row r="5" spans="2:113" x14ac:dyDescent="0.3">
      <c r="B5" s="12">
        <v>46191</v>
      </c>
      <c r="C5" s="7" t="s">
        <v>65</v>
      </c>
      <c r="D5" s="3" t="s">
        <v>5</v>
      </c>
      <c r="E5" s="1" t="s">
        <v>1</v>
      </c>
      <c r="F5" s="5" t="s">
        <v>3</v>
      </c>
      <c r="G5" s="3"/>
      <c r="H5" s="1" t="s">
        <v>1</v>
      </c>
      <c r="I5" s="5"/>
      <c r="J5" s="3">
        <v>2</v>
      </c>
      <c r="K5" s="1" t="s">
        <v>1</v>
      </c>
      <c r="L5" s="7">
        <v>1</v>
      </c>
      <c r="M5" s="9" t="str">
        <f t="shared" si="0"/>
        <v/>
      </c>
      <c r="N5" s="3">
        <v>1</v>
      </c>
      <c r="O5" s="1" t="s">
        <v>1</v>
      </c>
      <c r="P5" s="7">
        <v>0</v>
      </c>
      <c r="Q5" s="9" t="str">
        <f t="shared" si="1"/>
        <v/>
      </c>
      <c r="R5" s="3">
        <v>1</v>
      </c>
      <c r="S5" s="1" t="s">
        <v>1</v>
      </c>
      <c r="T5" s="7">
        <v>0</v>
      </c>
      <c r="U5" s="9" t="str">
        <f t="shared" si="2"/>
        <v/>
      </c>
      <c r="V5" s="3">
        <v>2</v>
      </c>
      <c r="W5" s="1" t="s">
        <v>1</v>
      </c>
      <c r="X5" s="7">
        <v>0</v>
      </c>
      <c r="Y5" s="9" t="str">
        <f t="shared" si="3"/>
        <v/>
      </c>
      <c r="Z5" s="3">
        <v>2</v>
      </c>
      <c r="AA5" s="1" t="s">
        <v>1</v>
      </c>
      <c r="AB5" s="7">
        <v>0</v>
      </c>
      <c r="AC5" s="9" t="str">
        <f t="shared" si="4"/>
        <v/>
      </c>
      <c r="AD5" s="3">
        <v>1</v>
      </c>
      <c r="AE5" s="1" t="s">
        <v>1</v>
      </c>
      <c r="AF5" s="7">
        <v>1</v>
      </c>
      <c r="AG5" s="9" t="str">
        <f t="shared" si="5"/>
        <v/>
      </c>
      <c r="AH5" s="3">
        <v>1</v>
      </c>
      <c r="AI5" s="1" t="s">
        <v>1</v>
      </c>
      <c r="AJ5" s="7">
        <v>0</v>
      </c>
      <c r="AK5" s="9" t="str">
        <f t="shared" si="6"/>
        <v/>
      </c>
      <c r="AL5" s="3">
        <v>1</v>
      </c>
      <c r="AM5" s="1" t="s">
        <v>1</v>
      </c>
      <c r="AN5" s="7">
        <v>0</v>
      </c>
      <c r="AO5" s="9" t="str">
        <f t="shared" si="7"/>
        <v/>
      </c>
      <c r="AP5" s="3">
        <v>2</v>
      </c>
      <c r="AQ5" s="1" t="s">
        <v>1</v>
      </c>
      <c r="AR5" s="7">
        <v>1</v>
      </c>
      <c r="AS5" s="9" t="str">
        <f t="shared" si="8"/>
        <v/>
      </c>
      <c r="AT5" s="3">
        <v>2</v>
      </c>
      <c r="AU5" s="1" t="s">
        <v>1</v>
      </c>
      <c r="AV5" s="7">
        <v>1</v>
      </c>
      <c r="AW5" s="9" t="str">
        <f t="shared" si="9"/>
        <v/>
      </c>
      <c r="AX5" s="3">
        <v>2</v>
      </c>
      <c r="AY5" s="1" t="s">
        <v>1</v>
      </c>
      <c r="AZ5" s="7">
        <v>1</v>
      </c>
      <c r="BA5" s="9" t="str">
        <f t="shared" si="10"/>
        <v/>
      </c>
      <c r="BB5" s="3">
        <v>1</v>
      </c>
      <c r="BC5" s="1" t="s">
        <v>1</v>
      </c>
      <c r="BD5" s="7">
        <v>1</v>
      </c>
      <c r="BE5" s="9" t="str">
        <f t="shared" si="11"/>
        <v/>
      </c>
      <c r="BF5" s="3">
        <v>1</v>
      </c>
      <c r="BG5" s="1" t="s">
        <v>1</v>
      </c>
      <c r="BH5" s="7">
        <v>1</v>
      </c>
      <c r="BI5" s="9" t="str">
        <f t="shared" si="12"/>
        <v/>
      </c>
      <c r="BJ5" s="3">
        <v>2</v>
      </c>
      <c r="BK5" s="1" t="s">
        <v>1</v>
      </c>
      <c r="BL5" s="7">
        <v>1</v>
      </c>
      <c r="BM5" s="9" t="str">
        <f t="shared" si="13"/>
        <v/>
      </c>
      <c r="BN5" s="3">
        <v>2</v>
      </c>
      <c r="BO5" s="1" t="s">
        <v>1</v>
      </c>
      <c r="BP5" s="7">
        <v>0</v>
      </c>
      <c r="BQ5" s="9" t="str">
        <f t="shared" si="14"/>
        <v/>
      </c>
      <c r="BR5" s="3">
        <v>1</v>
      </c>
      <c r="BS5" s="1" t="s">
        <v>1</v>
      </c>
      <c r="BT5" s="7">
        <v>1</v>
      </c>
      <c r="BU5" s="9" t="str">
        <f t="shared" si="15"/>
        <v/>
      </c>
      <c r="BV5" s="3">
        <v>3</v>
      </c>
      <c r="BW5" s="1" t="s">
        <v>1</v>
      </c>
      <c r="BX5" s="7">
        <v>1</v>
      </c>
      <c r="BY5" s="9" t="str">
        <f t="shared" si="16"/>
        <v/>
      </c>
      <c r="BZ5" s="3">
        <v>2</v>
      </c>
      <c r="CA5" s="1" t="s">
        <v>1</v>
      </c>
      <c r="CB5" s="7">
        <v>1</v>
      </c>
      <c r="CC5" s="9" t="str">
        <f t="shared" si="17"/>
        <v/>
      </c>
      <c r="CD5" s="3">
        <v>2</v>
      </c>
      <c r="CE5" s="1" t="s">
        <v>1</v>
      </c>
      <c r="CF5" s="7">
        <v>0</v>
      </c>
      <c r="CG5" s="9" t="str">
        <f t="shared" si="18"/>
        <v/>
      </c>
      <c r="CH5" s="3">
        <v>2</v>
      </c>
      <c r="CI5" s="1" t="s">
        <v>1</v>
      </c>
      <c r="CJ5" s="7">
        <v>0</v>
      </c>
      <c r="CK5" s="9" t="str">
        <f t="shared" si="19"/>
        <v/>
      </c>
      <c r="CL5" s="3">
        <v>2</v>
      </c>
      <c r="CM5" s="1" t="s">
        <v>1</v>
      </c>
      <c r="CN5" s="7">
        <v>0</v>
      </c>
      <c r="CO5" s="9" t="str">
        <f t="shared" si="20"/>
        <v/>
      </c>
      <c r="CP5" s="3">
        <v>2</v>
      </c>
      <c r="CQ5" s="1" t="s">
        <v>1</v>
      </c>
      <c r="CR5" s="7">
        <v>0</v>
      </c>
      <c r="CS5" s="9" t="str">
        <f t="shared" si="21"/>
        <v/>
      </c>
      <c r="CT5" s="3">
        <v>2</v>
      </c>
      <c r="CU5" s="1" t="s">
        <v>1</v>
      </c>
      <c r="CV5" s="7">
        <v>0</v>
      </c>
      <c r="CW5" s="9" t="str">
        <f t="shared" si="22"/>
        <v/>
      </c>
      <c r="CX5" s="3">
        <v>1</v>
      </c>
      <c r="CY5" s="1" t="s">
        <v>1</v>
      </c>
      <c r="CZ5" s="7">
        <v>0</v>
      </c>
      <c r="DA5" s="9" t="str">
        <f t="shared" si="23"/>
        <v/>
      </c>
      <c r="DB5" s="3">
        <v>2</v>
      </c>
      <c r="DC5" s="1" t="s">
        <v>1</v>
      </c>
      <c r="DD5" s="7">
        <v>1</v>
      </c>
      <c r="DE5" s="9" t="str">
        <f t="shared" si="24"/>
        <v/>
      </c>
      <c r="DF5" s="3">
        <v>1</v>
      </c>
      <c r="DG5" s="1" t="s">
        <v>1</v>
      </c>
      <c r="DH5" s="7">
        <v>1</v>
      </c>
      <c r="DI5" s="9" t="str">
        <f t="shared" si="25"/>
        <v/>
      </c>
    </row>
    <row r="6" spans="2:113" x14ac:dyDescent="0.3">
      <c r="B6" s="12">
        <v>46192</v>
      </c>
      <c r="C6" s="7" t="s">
        <v>66</v>
      </c>
      <c r="D6" s="3" t="s">
        <v>2</v>
      </c>
      <c r="E6" s="1" t="s">
        <v>1</v>
      </c>
      <c r="F6" s="5" t="s">
        <v>4</v>
      </c>
      <c r="G6" s="3"/>
      <c r="H6" s="1" t="s">
        <v>1</v>
      </c>
      <c r="I6" s="5"/>
      <c r="J6" s="3">
        <v>1</v>
      </c>
      <c r="K6" s="1" t="s">
        <v>1</v>
      </c>
      <c r="L6" s="7">
        <v>1</v>
      </c>
      <c r="M6" s="9" t="str">
        <f t="shared" si="0"/>
        <v/>
      </c>
      <c r="N6" s="3">
        <v>2</v>
      </c>
      <c r="O6" s="1" t="s">
        <v>1</v>
      </c>
      <c r="P6" s="7">
        <v>1</v>
      </c>
      <c r="Q6" s="9" t="str">
        <f t="shared" si="1"/>
        <v/>
      </c>
      <c r="R6" s="3">
        <v>2</v>
      </c>
      <c r="S6" s="1" t="s">
        <v>1</v>
      </c>
      <c r="T6" s="7">
        <v>0</v>
      </c>
      <c r="U6" s="9" t="str">
        <f t="shared" si="2"/>
        <v/>
      </c>
      <c r="V6" s="3">
        <v>2</v>
      </c>
      <c r="W6" s="1" t="s">
        <v>1</v>
      </c>
      <c r="X6" s="7">
        <v>1</v>
      </c>
      <c r="Y6" s="9" t="str">
        <f t="shared" si="3"/>
        <v/>
      </c>
      <c r="Z6" s="3">
        <v>1</v>
      </c>
      <c r="AA6" s="1" t="s">
        <v>1</v>
      </c>
      <c r="AB6" s="7">
        <v>1</v>
      </c>
      <c r="AC6" s="9" t="str">
        <f t="shared" si="4"/>
        <v/>
      </c>
      <c r="AD6" s="3">
        <v>2</v>
      </c>
      <c r="AE6" s="1" t="s">
        <v>1</v>
      </c>
      <c r="AF6" s="7">
        <v>1</v>
      </c>
      <c r="AG6" s="9" t="str">
        <f t="shared" si="5"/>
        <v/>
      </c>
      <c r="AH6" s="3">
        <v>1</v>
      </c>
      <c r="AI6" s="1" t="s">
        <v>1</v>
      </c>
      <c r="AJ6" s="7">
        <v>0</v>
      </c>
      <c r="AK6" s="9" t="str">
        <f t="shared" si="6"/>
        <v/>
      </c>
      <c r="AL6" s="3">
        <v>1</v>
      </c>
      <c r="AM6" s="1" t="s">
        <v>1</v>
      </c>
      <c r="AN6" s="7">
        <v>0</v>
      </c>
      <c r="AO6" s="9" t="str">
        <f t="shared" si="7"/>
        <v/>
      </c>
      <c r="AP6" s="3">
        <v>1</v>
      </c>
      <c r="AQ6" s="1" t="s">
        <v>1</v>
      </c>
      <c r="AR6" s="7">
        <v>1</v>
      </c>
      <c r="AS6" s="9" t="str">
        <f t="shared" si="8"/>
        <v/>
      </c>
      <c r="AT6" s="3">
        <v>3</v>
      </c>
      <c r="AU6" s="1" t="s">
        <v>1</v>
      </c>
      <c r="AV6" s="7">
        <v>1</v>
      </c>
      <c r="AW6" s="9" t="str">
        <f t="shared" si="9"/>
        <v/>
      </c>
      <c r="AX6" s="3">
        <v>1</v>
      </c>
      <c r="AY6" s="1" t="s">
        <v>1</v>
      </c>
      <c r="AZ6" s="7">
        <v>0</v>
      </c>
      <c r="BA6" s="9" t="str">
        <f t="shared" si="10"/>
        <v/>
      </c>
      <c r="BB6" s="3">
        <v>1</v>
      </c>
      <c r="BC6" s="1" t="s">
        <v>1</v>
      </c>
      <c r="BD6" s="7">
        <v>1</v>
      </c>
      <c r="BE6" s="9" t="str">
        <f t="shared" si="11"/>
        <v/>
      </c>
      <c r="BF6" s="3">
        <v>1</v>
      </c>
      <c r="BG6" s="1" t="s">
        <v>1</v>
      </c>
      <c r="BH6" s="7">
        <v>0</v>
      </c>
      <c r="BI6" s="9" t="str">
        <f t="shared" si="12"/>
        <v/>
      </c>
      <c r="BJ6" s="3">
        <v>1</v>
      </c>
      <c r="BK6" s="1" t="s">
        <v>1</v>
      </c>
      <c r="BL6" s="7">
        <v>0</v>
      </c>
      <c r="BM6" s="9" t="str">
        <f t="shared" si="13"/>
        <v/>
      </c>
      <c r="BN6" s="3">
        <v>1</v>
      </c>
      <c r="BO6" s="1" t="s">
        <v>1</v>
      </c>
      <c r="BP6" s="7">
        <v>0</v>
      </c>
      <c r="BQ6" s="9" t="str">
        <f t="shared" si="14"/>
        <v/>
      </c>
      <c r="BR6" s="3">
        <v>2</v>
      </c>
      <c r="BS6" s="1" t="s">
        <v>1</v>
      </c>
      <c r="BT6" s="7">
        <v>1</v>
      </c>
      <c r="BU6" s="9" t="str">
        <f t="shared" si="15"/>
        <v/>
      </c>
      <c r="BV6" s="3">
        <v>1</v>
      </c>
      <c r="BW6" s="1" t="s">
        <v>1</v>
      </c>
      <c r="BX6" s="7">
        <v>1</v>
      </c>
      <c r="BY6" s="9" t="str">
        <f t="shared" si="16"/>
        <v/>
      </c>
      <c r="BZ6" s="3">
        <v>1</v>
      </c>
      <c r="CA6" s="1" t="s">
        <v>1</v>
      </c>
      <c r="CB6" s="7">
        <v>1</v>
      </c>
      <c r="CC6" s="9" t="str">
        <f t="shared" si="17"/>
        <v/>
      </c>
      <c r="CD6" s="3">
        <v>2</v>
      </c>
      <c r="CE6" s="1" t="s">
        <v>1</v>
      </c>
      <c r="CF6" s="7">
        <v>1</v>
      </c>
      <c r="CG6" s="9" t="str">
        <f t="shared" si="18"/>
        <v/>
      </c>
      <c r="CH6" s="3">
        <v>2</v>
      </c>
      <c r="CI6" s="1" t="s">
        <v>1</v>
      </c>
      <c r="CJ6" s="7">
        <v>1</v>
      </c>
      <c r="CK6" s="9" t="str">
        <f t="shared" si="19"/>
        <v/>
      </c>
      <c r="CL6" s="3">
        <v>3</v>
      </c>
      <c r="CM6" s="1" t="s">
        <v>1</v>
      </c>
      <c r="CN6" s="7">
        <v>1</v>
      </c>
      <c r="CO6" s="9" t="str">
        <f t="shared" si="20"/>
        <v/>
      </c>
      <c r="CP6" s="3">
        <v>1</v>
      </c>
      <c r="CQ6" s="1" t="s">
        <v>1</v>
      </c>
      <c r="CR6" s="7">
        <v>0</v>
      </c>
      <c r="CS6" s="9" t="str">
        <f t="shared" si="21"/>
        <v/>
      </c>
      <c r="CT6" s="3">
        <v>2</v>
      </c>
      <c r="CU6" s="1" t="s">
        <v>1</v>
      </c>
      <c r="CV6" s="7">
        <v>1</v>
      </c>
      <c r="CW6" s="9" t="str">
        <f t="shared" si="22"/>
        <v/>
      </c>
      <c r="CX6" s="3">
        <v>1</v>
      </c>
      <c r="CY6" s="1" t="s">
        <v>1</v>
      </c>
      <c r="CZ6" s="7">
        <v>2</v>
      </c>
      <c r="DA6" s="9" t="str">
        <f t="shared" si="23"/>
        <v/>
      </c>
      <c r="DB6" s="3">
        <v>3</v>
      </c>
      <c r="DC6" s="1" t="s">
        <v>1</v>
      </c>
      <c r="DD6" s="7">
        <v>2</v>
      </c>
      <c r="DE6" s="9" t="str">
        <f t="shared" si="24"/>
        <v/>
      </c>
      <c r="DF6" s="3">
        <v>2</v>
      </c>
      <c r="DG6" s="1" t="s">
        <v>1</v>
      </c>
      <c r="DH6" s="7">
        <v>0</v>
      </c>
      <c r="DI6" s="9" t="str">
        <f t="shared" si="25"/>
        <v/>
      </c>
    </row>
    <row r="7" spans="2:113" x14ac:dyDescent="0.3">
      <c r="B7" s="12">
        <v>46198</v>
      </c>
      <c r="C7" s="7" t="s">
        <v>66</v>
      </c>
      <c r="D7" s="3" t="s">
        <v>5</v>
      </c>
      <c r="E7" s="1" t="s">
        <v>1</v>
      </c>
      <c r="F7" s="5" t="s">
        <v>2</v>
      </c>
      <c r="G7" s="3"/>
      <c r="H7" s="1" t="s">
        <v>1</v>
      </c>
      <c r="I7" s="5"/>
      <c r="J7" s="3">
        <v>1</v>
      </c>
      <c r="K7" s="1" t="s">
        <v>1</v>
      </c>
      <c r="L7" s="7">
        <v>2</v>
      </c>
      <c r="M7" s="9" t="str">
        <f t="shared" si="0"/>
        <v/>
      </c>
      <c r="N7" s="3">
        <v>0</v>
      </c>
      <c r="O7" s="1" t="s">
        <v>1</v>
      </c>
      <c r="P7" s="7">
        <v>1</v>
      </c>
      <c r="Q7" s="9" t="str">
        <f t="shared" si="1"/>
        <v/>
      </c>
      <c r="R7" s="3">
        <v>1</v>
      </c>
      <c r="S7" s="1" t="s">
        <v>1</v>
      </c>
      <c r="T7" s="7">
        <v>1</v>
      </c>
      <c r="U7" s="9" t="str">
        <f t="shared" si="2"/>
        <v/>
      </c>
      <c r="V7" s="3">
        <v>0</v>
      </c>
      <c r="W7" s="1" t="s">
        <v>1</v>
      </c>
      <c r="X7" s="7">
        <v>2</v>
      </c>
      <c r="Y7" s="9" t="str">
        <f t="shared" si="3"/>
        <v/>
      </c>
      <c r="Z7" s="3">
        <v>1</v>
      </c>
      <c r="AA7" s="1" t="s">
        <v>1</v>
      </c>
      <c r="AB7" s="7">
        <v>1</v>
      </c>
      <c r="AC7" s="9" t="str">
        <f t="shared" si="4"/>
        <v/>
      </c>
      <c r="AD7" s="3">
        <v>0</v>
      </c>
      <c r="AE7" s="1" t="s">
        <v>1</v>
      </c>
      <c r="AF7" s="7">
        <v>2</v>
      </c>
      <c r="AG7" s="9" t="str">
        <f t="shared" si="5"/>
        <v/>
      </c>
      <c r="AH7" s="3">
        <v>1</v>
      </c>
      <c r="AI7" s="1" t="s">
        <v>1</v>
      </c>
      <c r="AJ7" s="7">
        <v>1</v>
      </c>
      <c r="AK7" s="9" t="str">
        <f t="shared" si="6"/>
        <v/>
      </c>
      <c r="AL7" s="3">
        <v>1</v>
      </c>
      <c r="AM7" s="1" t="s">
        <v>1</v>
      </c>
      <c r="AN7" s="7">
        <v>0</v>
      </c>
      <c r="AO7" s="9" t="str">
        <f t="shared" si="7"/>
        <v/>
      </c>
      <c r="AP7" s="3">
        <v>1</v>
      </c>
      <c r="AQ7" s="1" t="s">
        <v>1</v>
      </c>
      <c r="AR7" s="7">
        <v>0</v>
      </c>
      <c r="AS7" s="9" t="str">
        <f t="shared" si="8"/>
        <v/>
      </c>
      <c r="AT7" s="3">
        <v>1</v>
      </c>
      <c r="AU7" s="1" t="s">
        <v>1</v>
      </c>
      <c r="AV7" s="7">
        <v>2</v>
      </c>
      <c r="AW7" s="9" t="str">
        <f t="shared" si="9"/>
        <v/>
      </c>
      <c r="AX7" s="3">
        <v>1</v>
      </c>
      <c r="AY7" s="1" t="s">
        <v>1</v>
      </c>
      <c r="AZ7" s="7">
        <v>1</v>
      </c>
      <c r="BA7" s="9" t="str">
        <f t="shared" si="10"/>
        <v/>
      </c>
      <c r="BB7" s="3">
        <v>1</v>
      </c>
      <c r="BC7" s="1" t="s">
        <v>1</v>
      </c>
      <c r="BD7" s="7">
        <v>1</v>
      </c>
      <c r="BE7" s="9" t="str">
        <f t="shared" si="11"/>
        <v/>
      </c>
      <c r="BF7" s="3">
        <v>0</v>
      </c>
      <c r="BG7" s="1" t="s">
        <v>1</v>
      </c>
      <c r="BH7" s="7">
        <v>2</v>
      </c>
      <c r="BI7" s="9" t="str">
        <f t="shared" si="12"/>
        <v/>
      </c>
      <c r="BJ7" s="3">
        <v>0</v>
      </c>
      <c r="BK7" s="1" t="s">
        <v>1</v>
      </c>
      <c r="BL7" s="7">
        <v>1</v>
      </c>
      <c r="BM7" s="9" t="str">
        <f t="shared" si="13"/>
        <v/>
      </c>
      <c r="BN7" s="3">
        <v>1</v>
      </c>
      <c r="BO7" s="1" t="s">
        <v>1</v>
      </c>
      <c r="BP7" s="7">
        <v>2</v>
      </c>
      <c r="BQ7" s="9" t="str">
        <f t="shared" si="14"/>
        <v/>
      </c>
      <c r="BR7" s="3">
        <v>0</v>
      </c>
      <c r="BS7" s="1" t="s">
        <v>1</v>
      </c>
      <c r="BT7" s="7">
        <v>3</v>
      </c>
      <c r="BU7" s="9" t="str">
        <f t="shared" si="15"/>
        <v/>
      </c>
      <c r="BV7" s="3">
        <v>0</v>
      </c>
      <c r="BW7" s="1" t="s">
        <v>1</v>
      </c>
      <c r="BX7" s="7">
        <v>1</v>
      </c>
      <c r="BY7" s="9" t="str">
        <f t="shared" si="16"/>
        <v/>
      </c>
      <c r="BZ7" s="3">
        <v>3</v>
      </c>
      <c r="CA7" s="1" t="s">
        <v>1</v>
      </c>
      <c r="CB7" s="7">
        <v>2</v>
      </c>
      <c r="CC7" s="9" t="str">
        <f t="shared" si="17"/>
        <v/>
      </c>
      <c r="CD7" s="3">
        <v>0</v>
      </c>
      <c r="CE7" s="1" t="s">
        <v>1</v>
      </c>
      <c r="CF7" s="7">
        <v>1</v>
      </c>
      <c r="CG7" s="9" t="str">
        <f t="shared" si="18"/>
        <v/>
      </c>
      <c r="CH7" s="3">
        <v>1</v>
      </c>
      <c r="CI7" s="1" t="s">
        <v>1</v>
      </c>
      <c r="CJ7" s="7">
        <v>1</v>
      </c>
      <c r="CK7" s="9" t="str">
        <f t="shared" si="19"/>
        <v/>
      </c>
      <c r="CL7" s="3">
        <v>1</v>
      </c>
      <c r="CM7" s="1" t="s">
        <v>1</v>
      </c>
      <c r="CN7" s="7">
        <v>2</v>
      </c>
      <c r="CO7" s="9" t="str">
        <f t="shared" si="20"/>
        <v/>
      </c>
      <c r="CP7" s="3">
        <v>1</v>
      </c>
      <c r="CQ7" s="1" t="s">
        <v>1</v>
      </c>
      <c r="CR7" s="7">
        <v>1</v>
      </c>
      <c r="CS7" s="9" t="str">
        <f t="shared" si="21"/>
        <v/>
      </c>
      <c r="CT7" s="3">
        <v>1</v>
      </c>
      <c r="CU7" s="1" t="s">
        <v>1</v>
      </c>
      <c r="CV7" s="7">
        <v>1</v>
      </c>
      <c r="CW7" s="9" t="str">
        <f t="shared" si="22"/>
        <v/>
      </c>
      <c r="CX7" s="3">
        <v>1</v>
      </c>
      <c r="CY7" s="1" t="s">
        <v>1</v>
      </c>
      <c r="CZ7" s="7">
        <v>2</v>
      </c>
      <c r="DA7" s="9" t="str">
        <f t="shared" si="23"/>
        <v/>
      </c>
      <c r="DB7" s="3">
        <v>2</v>
      </c>
      <c r="DC7" s="1" t="s">
        <v>1</v>
      </c>
      <c r="DD7" s="7">
        <v>2</v>
      </c>
      <c r="DE7" s="9" t="str">
        <f t="shared" si="24"/>
        <v/>
      </c>
      <c r="DF7" s="3">
        <v>1</v>
      </c>
      <c r="DG7" s="1" t="s">
        <v>1</v>
      </c>
      <c r="DH7" s="7">
        <v>1</v>
      </c>
      <c r="DI7" s="9" t="str">
        <f t="shared" si="25"/>
        <v/>
      </c>
    </row>
    <row r="8" spans="2:113" ht="15" thickBot="1" x14ac:dyDescent="0.35">
      <c r="B8" s="13">
        <v>46198</v>
      </c>
      <c r="C8" s="8" t="s">
        <v>66</v>
      </c>
      <c r="D8" s="4" t="s">
        <v>3</v>
      </c>
      <c r="E8" s="2" t="s">
        <v>1</v>
      </c>
      <c r="F8" s="6" t="s">
        <v>4</v>
      </c>
      <c r="G8" s="4"/>
      <c r="H8" s="2" t="s">
        <v>1</v>
      </c>
      <c r="I8" s="6"/>
      <c r="J8" s="4">
        <v>1</v>
      </c>
      <c r="K8" s="2" t="s">
        <v>1</v>
      </c>
      <c r="L8" s="8">
        <v>2</v>
      </c>
      <c r="M8" s="10" t="str">
        <f t="shared" si="0"/>
        <v/>
      </c>
      <c r="N8" s="4">
        <v>0</v>
      </c>
      <c r="O8" s="2" t="s">
        <v>1</v>
      </c>
      <c r="P8" s="8">
        <v>1</v>
      </c>
      <c r="Q8" s="10" t="str">
        <f t="shared" si="1"/>
        <v/>
      </c>
      <c r="R8" s="4">
        <v>1</v>
      </c>
      <c r="S8" s="2" t="s">
        <v>1</v>
      </c>
      <c r="T8" s="8">
        <v>2</v>
      </c>
      <c r="U8" s="10" t="str">
        <f t="shared" si="2"/>
        <v/>
      </c>
      <c r="V8" s="4">
        <v>0</v>
      </c>
      <c r="W8" s="2" t="s">
        <v>1</v>
      </c>
      <c r="X8" s="8">
        <v>0</v>
      </c>
      <c r="Y8" s="10" t="str">
        <f t="shared" si="3"/>
        <v/>
      </c>
      <c r="Z8" s="4">
        <v>0</v>
      </c>
      <c r="AA8" s="2" t="s">
        <v>1</v>
      </c>
      <c r="AB8" s="8">
        <v>1</v>
      </c>
      <c r="AC8" s="10" t="str">
        <f t="shared" si="4"/>
        <v/>
      </c>
      <c r="AD8" s="4">
        <v>1</v>
      </c>
      <c r="AE8" s="2" t="s">
        <v>1</v>
      </c>
      <c r="AF8" s="8">
        <v>2</v>
      </c>
      <c r="AG8" s="10" t="str">
        <f t="shared" si="5"/>
        <v/>
      </c>
      <c r="AH8" s="4">
        <v>1</v>
      </c>
      <c r="AI8" s="2" t="s">
        <v>1</v>
      </c>
      <c r="AJ8" s="8">
        <v>1</v>
      </c>
      <c r="AK8" s="10" t="str">
        <f t="shared" si="6"/>
        <v/>
      </c>
      <c r="AL8" s="4">
        <v>0</v>
      </c>
      <c r="AM8" s="2" t="s">
        <v>1</v>
      </c>
      <c r="AN8" s="8">
        <v>0</v>
      </c>
      <c r="AO8" s="10" t="str">
        <f t="shared" si="7"/>
        <v/>
      </c>
      <c r="AP8" s="4">
        <v>1</v>
      </c>
      <c r="AQ8" s="2" t="s">
        <v>1</v>
      </c>
      <c r="AR8" s="8">
        <v>2</v>
      </c>
      <c r="AS8" s="10" t="str">
        <f t="shared" si="8"/>
        <v/>
      </c>
      <c r="AT8" s="4">
        <v>0</v>
      </c>
      <c r="AU8" s="2" t="s">
        <v>1</v>
      </c>
      <c r="AV8" s="8">
        <v>0</v>
      </c>
      <c r="AW8" s="10" t="str">
        <f t="shared" si="9"/>
        <v/>
      </c>
      <c r="AX8" s="4">
        <v>2</v>
      </c>
      <c r="AY8" s="2" t="s">
        <v>1</v>
      </c>
      <c r="AZ8" s="8">
        <v>2</v>
      </c>
      <c r="BA8" s="10" t="str">
        <f t="shared" si="10"/>
        <v/>
      </c>
      <c r="BB8" s="4">
        <v>1</v>
      </c>
      <c r="BC8" s="2" t="s">
        <v>1</v>
      </c>
      <c r="BD8" s="8">
        <v>2</v>
      </c>
      <c r="BE8" s="10" t="str">
        <f t="shared" si="11"/>
        <v/>
      </c>
      <c r="BF8" s="4">
        <v>1</v>
      </c>
      <c r="BG8" s="2" t="s">
        <v>1</v>
      </c>
      <c r="BH8" s="8">
        <v>2</v>
      </c>
      <c r="BI8" s="10" t="str">
        <f t="shared" si="12"/>
        <v/>
      </c>
      <c r="BJ8" s="4">
        <v>1</v>
      </c>
      <c r="BK8" s="2" t="s">
        <v>1</v>
      </c>
      <c r="BL8" s="8">
        <v>2</v>
      </c>
      <c r="BM8" s="10" t="str">
        <f t="shared" si="13"/>
        <v/>
      </c>
      <c r="BN8" s="4">
        <v>1</v>
      </c>
      <c r="BO8" s="2" t="s">
        <v>1</v>
      </c>
      <c r="BP8" s="8">
        <v>2</v>
      </c>
      <c r="BQ8" s="10" t="str">
        <f t="shared" si="14"/>
        <v/>
      </c>
      <c r="BR8" s="4">
        <v>1</v>
      </c>
      <c r="BS8" s="2" t="s">
        <v>1</v>
      </c>
      <c r="BT8" s="8">
        <v>2</v>
      </c>
      <c r="BU8" s="10" t="str">
        <f t="shared" si="15"/>
        <v/>
      </c>
      <c r="BV8" s="4">
        <v>1</v>
      </c>
      <c r="BW8" s="2" t="s">
        <v>1</v>
      </c>
      <c r="BX8" s="8">
        <v>1</v>
      </c>
      <c r="BY8" s="10" t="str">
        <f t="shared" si="16"/>
        <v/>
      </c>
      <c r="BZ8" s="4">
        <v>0</v>
      </c>
      <c r="CA8" s="2" t="s">
        <v>1</v>
      </c>
      <c r="CB8" s="8">
        <v>1</v>
      </c>
      <c r="CC8" s="10" t="str">
        <f t="shared" si="17"/>
        <v/>
      </c>
      <c r="CD8" s="4">
        <v>0</v>
      </c>
      <c r="CE8" s="2" t="s">
        <v>1</v>
      </c>
      <c r="CF8" s="8">
        <v>2</v>
      </c>
      <c r="CG8" s="10" t="str">
        <f t="shared" si="18"/>
        <v/>
      </c>
      <c r="CH8" s="4">
        <v>0</v>
      </c>
      <c r="CI8" s="2" t="s">
        <v>1</v>
      </c>
      <c r="CJ8" s="8">
        <v>2</v>
      </c>
      <c r="CK8" s="10" t="str">
        <f t="shared" si="19"/>
        <v/>
      </c>
      <c r="CL8" s="4">
        <v>1</v>
      </c>
      <c r="CM8" s="2" t="s">
        <v>1</v>
      </c>
      <c r="CN8" s="8">
        <v>2</v>
      </c>
      <c r="CO8" s="10" t="str">
        <f t="shared" si="20"/>
        <v/>
      </c>
      <c r="CP8" s="4">
        <v>2</v>
      </c>
      <c r="CQ8" s="2" t="s">
        <v>1</v>
      </c>
      <c r="CR8" s="8">
        <v>3</v>
      </c>
      <c r="CS8" s="10" t="str">
        <f t="shared" si="21"/>
        <v/>
      </c>
      <c r="CT8" s="4">
        <v>1</v>
      </c>
      <c r="CU8" s="2" t="s">
        <v>1</v>
      </c>
      <c r="CV8" s="8">
        <v>3</v>
      </c>
      <c r="CW8" s="10" t="str">
        <f t="shared" si="22"/>
        <v/>
      </c>
      <c r="CX8" s="4">
        <v>0</v>
      </c>
      <c r="CY8" s="2" t="s">
        <v>1</v>
      </c>
      <c r="CZ8" s="8">
        <v>2</v>
      </c>
      <c r="DA8" s="10" t="str">
        <f t="shared" si="23"/>
        <v/>
      </c>
      <c r="DB8" s="4">
        <v>4</v>
      </c>
      <c r="DC8" s="2" t="s">
        <v>1</v>
      </c>
      <c r="DD8" s="8">
        <v>0</v>
      </c>
      <c r="DE8" s="10" t="str">
        <f t="shared" si="24"/>
        <v/>
      </c>
      <c r="DF8" s="4">
        <v>3</v>
      </c>
      <c r="DG8" s="2" t="s">
        <v>1</v>
      </c>
      <c r="DH8" s="8">
        <v>1</v>
      </c>
      <c r="DI8" s="10" t="str">
        <f t="shared" si="25"/>
        <v/>
      </c>
    </row>
    <row r="9" spans="2:113" ht="15" thickBot="1" x14ac:dyDescent="0.35">
      <c r="B9" s="51" t="s">
        <v>77</v>
      </c>
      <c r="C9" s="52" t="s">
        <v>78</v>
      </c>
      <c r="D9" s="157" t="s">
        <v>8</v>
      </c>
      <c r="E9" s="158"/>
      <c r="F9" s="159"/>
      <c r="G9" s="53" t="s">
        <v>7</v>
      </c>
      <c r="H9" s="54"/>
      <c r="I9" s="55"/>
      <c r="J9" s="61"/>
      <c r="K9" s="62"/>
      <c r="L9" s="62"/>
      <c r="M9" s="63"/>
      <c r="N9" s="64"/>
      <c r="O9" s="65"/>
      <c r="P9" s="65"/>
      <c r="Q9" s="66"/>
      <c r="R9" s="67"/>
      <c r="S9" s="68"/>
      <c r="T9" s="68"/>
      <c r="U9" s="69"/>
      <c r="V9" s="109"/>
      <c r="W9" s="110"/>
      <c r="X9" s="110"/>
      <c r="Y9" s="111"/>
      <c r="Z9" s="70"/>
      <c r="AA9" s="71"/>
      <c r="AB9" s="71"/>
      <c r="AC9" s="72"/>
      <c r="AD9" s="73"/>
      <c r="AE9" s="74"/>
      <c r="AF9" s="74"/>
      <c r="AG9" s="75"/>
      <c r="AH9" s="76"/>
      <c r="AI9" s="77"/>
      <c r="AJ9" s="77"/>
      <c r="AK9" s="78"/>
      <c r="AL9" s="79"/>
      <c r="AM9" s="80"/>
      <c r="AN9" s="80"/>
      <c r="AO9" s="81"/>
      <c r="AP9" s="41"/>
      <c r="AQ9" s="42"/>
      <c r="AR9" s="42"/>
      <c r="AS9" s="43"/>
      <c r="AT9" s="82"/>
      <c r="AU9" s="83"/>
      <c r="AV9" s="83"/>
      <c r="AW9" s="84"/>
      <c r="AX9" s="85"/>
      <c r="AY9" s="86"/>
      <c r="AZ9" s="86"/>
      <c r="BA9" s="87"/>
      <c r="BB9" s="88"/>
      <c r="BC9" s="89"/>
      <c r="BD9" s="89"/>
      <c r="BE9" s="90"/>
      <c r="BF9" s="91"/>
      <c r="BG9" s="92"/>
      <c r="BH9" s="92"/>
      <c r="BI9" s="93"/>
      <c r="BJ9" s="94"/>
      <c r="BK9" s="95"/>
      <c r="BL9" s="95"/>
      <c r="BM9" s="96"/>
      <c r="BN9" s="34"/>
      <c r="BO9" s="36"/>
      <c r="BP9" s="36"/>
      <c r="BQ9" s="35"/>
      <c r="BR9" s="79"/>
      <c r="BS9" s="80"/>
      <c r="BT9" s="80"/>
      <c r="BU9" s="81"/>
      <c r="BV9" s="97"/>
      <c r="BW9" s="98"/>
      <c r="BX9" s="98"/>
      <c r="BY9" s="99"/>
      <c r="BZ9" s="41"/>
      <c r="CA9" s="42"/>
      <c r="CB9" s="42"/>
      <c r="CC9" s="43"/>
      <c r="CD9" s="100"/>
      <c r="CE9" s="101"/>
      <c r="CF9" s="101"/>
      <c r="CG9" s="102"/>
      <c r="CH9" s="103"/>
      <c r="CI9" s="104"/>
      <c r="CJ9" s="104"/>
      <c r="CK9" s="105"/>
      <c r="CL9" s="109"/>
      <c r="CM9" s="110"/>
      <c r="CN9" s="110"/>
      <c r="CO9" s="111"/>
      <c r="CP9" s="106"/>
      <c r="CQ9" s="107"/>
      <c r="CR9" s="107"/>
      <c r="CS9" s="108"/>
      <c r="CT9" s="85"/>
      <c r="CU9" s="86"/>
      <c r="CV9" s="86"/>
      <c r="CW9" s="87"/>
      <c r="CX9" s="133"/>
      <c r="CY9" s="134"/>
      <c r="CZ9" s="134"/>
      <c r="DA9" s="135"/>
      <c r="DB9" s="137"/>
      <c r="DC9" s="138"/>
      <c r="DD9" s="138"/>
      <c r="DE9" s="139"/>
      <c r="DF9" s="53"/>
      <c r="DG9" s="54"/>
      <c r="DH9" s="54"/>
      <c r="DI9" s="55"/>
    </row>
    <row r="10" spans="2:113" x14ac:dyDescent="0.3">
      <c r="B10" s="12">
        <v>46185</v>
      </c>
      <c r="C10" s="7" t="s">
        <v>63</v>
      </c>
      <c r="D10" s="3" t="s">
        <v>15</v>
      </c>
      <c r="E10" s="1" t="s">
        <v>1</v>
      </c>
      <c r="F10" s="5" t="s">
        <v>16</v>
      </c>
      <c r="G10" s="3">
        <v>1</v>
      </c>
      <c r="H10" s="1" t="s">
        <v>1</v>
      </c>
      <c r="I10" s="5">
        <v>1</v>
      </c>
      <c r="J10" s="3">
        <v>1</v>
      </c>
      <c r="K10" s="1" t="s">
        <v>1</v>
      </c>
      <c r="L10" s="7">
        <v>1</v>
      </c>
      <c r="M10" s="11">
        <f>IF(ISBLANK($I10)=TRUE,"",IF(SIGN(J10-L10)=SIGN($G10-$I10),1,0)+IF(J10=$G10,IF(L10=$I10,2,0),0))</f>
        <v>3</v>
      </c>
      <c r="N10" s="3">
        <v>1</v>
      </c>
      <c r="O10" s="1" t="s">
        <v>1</v>
      </c>
      <c r="P10" s="7">
        <v>1</v>
      </c>
      <c r="Q10" s="11">
        <f>IF(ISBLANK($I10)=TRUE,"",IF(SIGN(N10-P10)=SIGN($G10-$I10),1,0)+IF(N10=$G10,IF(P10=$I10,2,0),0))</f>
        <v>3</v>
      </c>
      <c r="R10" s="3">
        <v>2</v>
      </c>
      <c r="S10" s="1" t="s">
        <v>1</v>
      </c>
      <c r="T10" s="7">
        <v>0</v>
      </c>
      <c r="U10" s="11">
        <f>IF(ISBLANK($I10)=TRUE,"",IF(SIGN(R10-T10)=SIGN($G10-$I10),1,0)+IF(R10=$G10,IF(T10=$I10,2,0),0))</f>
        <v>0</v>
      </c>
      <c r="V10" s="3">
        <v>2</v>
      </c>
      <c r="W10" s="1" t="s">
        <v>1</v>
      </c>
      <c r="X10" s="7">
        <v>1</v>
      </c>
      <c r="Y10" s="11">
        <f>IF(ISBLANK($I10)=TRUE,"",IF(SIGN(V10-X10)=SIGN($G10-$I10),1,0)+IF(V10=$G10,IF(X10=$I10,2,0),0))</f>
        <v>0</v>
      </c>
      <c r="Z10" s="3">
        <v>1</v>
      </c>
      <c r="AA10" s="1" t="s">
        <v>1</v>
      </c>
      <c r="AB10" s="7">
        <v>0</v>
      </c>
      <c r="AC10" s="11">
        <f>IF(ISBLANK($I10)=TRUE,"",IF(SIGN(Z10-AB10)=SIGN($G10-$I10),1,0)+IF(Z10=$G10,IF(AB10=$I10,2,0),0))</f>
        <v>0</v>
      </c>
      <c r="AD10" s="3">
        <v>2</v>
      </c>
      <c r="AE10" s="1" t="s">
        <v>1</v>
      </c>
      <c r="AF10" s="7">
        <v>0</v>
      </c>
      <c r="AG10" s="11">
        <f>IF(ISBLANK($I10)=TRUE,"",IF(SIGN(AD10-AF10)=SIGN($G10-$I10),1,0)+IF(AD10=$G10,IF(AF10=$I10,2,0),0))</f>
        <v>0</v>
      </c>
      <c r="AH10" s="3">
        <v>0</v>
      </c>
      <c r="AI10" s="1" t="s">
        <v>1</v>
      </c>
      <c r="AJ10" s="7">
        <v>1</v>
      </c>
      <c r="AK10" s="11">
        <f>IF(ISBLANK($I10)=TRUE,"",IF(SIGN(AH10-AJ10)=SIGN($G10-$I10),1,0)+IF(AH10=$G10,IF(AJ10=$I10,2,0),0))</f>
        <v>0</v>
      </c>
      <c r="AL10" s="3">
        <v>1</v>
      </c>
      <c r="AM10" s="1" t="s">
        <v>1</v>
      </c>
      <c r="AN10" s="7">
        <v>0</v>
      </c>
      <c r="AO10" s="11">
        <f>IF(ISBLANK($I10)=TRUE,"",IF(SIGN(AL10-AN10)=SIGN($G10-$I10),1,0)+IF(AL10=$G10,IF(AN10=$I10,2,0),0))</f>
        <v>0</v>
      </c>
      <c r="AP10" s="3">
        <v>0</v>
      </c>
      <c r="AQ10" s="1" t="s">
        <v>1</v>
      </c>
      <c r="AR10" s="7">
        <v>1</v>
      </c>
      <c r="AS10" s="11">
        <f>IF(ISBLANK($I10)=TRUE,"",IF(SIGN(AP10-AR10)=SIGN($G10-$I10),1,0)+IF(AP10=$G10,IF(AR10=$I10,2,0),0))</f>
        <v>0</v>
      </c>
      <c r="AT10" s="3">
        <v>1</v>
      </c>
      <c r="AU10" s="1" t="s">
        <v>1</v>
      </c>
      <c r="AV10" s="7">
        <v>0</v>
      </c>
      <c r="AW10" s="11">
        <f>IF(ISBLANK($I10)=TRUE,"",IF(SIGN(AT10-AV10)=SIGN($G10-$I10),1,0)+IF(AT10=$G10,IF(AV10=$I10,2,0),0))</f>
        <v>0</v>
      </c>
      <c r="AX10" s="3">
        <v>2</v>
      </c>
      <c r="AY10" s="1" t="s">
        <v>1</v>
      </c>
      <c r="AZ10" s="7">
        <v>1</v>
      </c>
      <c r="BA10" s="11">
        <f>IF(ISBLANK($I10)=TRUE,"",IF(SIGN(AX10-AZ10)=SIGN($G10-$I10),1,0)+IF(AX10=$G10,IF(AZ10=$I10,2,0),0))</f>
        <v>0</v>
      </c>
      <c r="BB10" s="3">
        <v>1</v>
      </c>
      <c r="BC10" s="1" t="s">
        <v>1</v>
      </c>
      <c r="BD10" s="7">
        <v>1</v>
      </c>
      <c r="BE10" s="11">
        <f>IF(ISBLANK($I10)=TRUE,"",IF(SIGN(BB10-BD10)=SIGN($G10-$I10),1,0)+IF(BB10=$G10,IF(BD10=$I10,2,0),0))</f>
        <v>3</v>
      </c>
      <c r="BF10" s="3">
        <v>0</v>
      </c>
      <c r="BG10" s="1" t="s">
        <v>1</v>
      </c>
      <c r="BH10" s="7">
        <v>1</v>
      </c>
      <c r="BI10" s="11">
        <f>IF(ISBLANK($I10)=TRUE,"",IF(SIGN(BF10-BH10)=SIGN($G10-$I10),1,0)+IF(BF10=$G10,IF(BH10=$I10,2,0),0))</f>
        <v>0</v>
      </c>
      <c r="BJ10" s="3">
        <v>0</v>
      </c>
      <c r="BK10" s="1" t="s">
        <v>1</v>
      </c>
      <c r="BL10" s="7">
        <v>1</v>
      </c>
      <c r="BM10" s="11">
        <f>IF(ISBLANK($I10)=TRUE,"",IF(SIGN(BJ10-BL10)=SIGN($G10-$I10),1,0)+IF(BJ10=$G10,IF(BL10=$I10,2,0),0))</f>
        <v>0</v>
      </c>
      <c r="BN10" s="3">
        <v>2</v>
      </c>
      <c r="BO10" s="1" t="s">
        <v>1</v>
      </c>
      <c r="BP10" s="7">
        <v>1</v>
      </c>
      <c r="BQ10" s="11">
        <f>IF(ISBLANK($I10)=TRUE,"",IF(SIGN(BN10-BP10)=SIGN($G10-$I10),1,0)+IF(BN10=$G10,IF(BP10=$I10,2,0),0))</f>
        <v>0</v>
      </c>
      <c r="BR10" s="3">
        <v>1</v>
      </c>
      <c r="BS10" s="1" t="s">
        <v>1</v>
      </c>
      <c r="BT10" s="7">
        <v>1</v>
      </c>
      <c r="BU10" s="11">
        <f>IF(ISBLANK($I10)=TRUE,"",IF(SIGN(BR10-BT10)=SIGN($G10-$I10),1,0)+IF(BR10=$G10,IF(BT10=$I10,2,0),0))</f>
        <v>3</v>
      </c>
      <c r="BV10" s="3">
        <v>2</v>
      </c>
      <c r="BW10" s="1" t="s">
        <v>1</v>
      </c>
      <c r="BX10" s="7">
        <v>0</v>
      </c>
      <c r="BY10" s="11">
        <f>IF(ISBLANK($I10)=TRUE,"",IF(SIGN(BV10-BX10)=SIGN($G10-$I10),1,0)+IF(BV10=$G10,IF(BX10=$I10,2,0),0))</f>
        <v>0</v>
      </c>
      <c r="BZ10" s="3">
        <v>2</v>
      </c>
      <c r="CA10" s="1" t="s">
        <v>1</v>
      </c>
      <c r="CB10" s="7">
        <v>0</v>
      </c>
      <c r="CC10" s="11">
        <f>IF(ISBLANK($I10)=TRUE,"",IF(SIGN(BZ10-CB10)=SIGN($G10-$I10),1,0)+IF(BZ10=$G10,IF(CB10=$I10,2,0),0))</f>
        <v>0</v>
      </c>
      <c r="CD10" s="3">
        <v>1</v>
      </c>
      <c r="CE10" s="1" t="s">
        <v>1</v>
      </c>
      <c r="CF10" s="7">
        <v>0</v>
      </c>
      <c r="CG10" s="11">
        <f>IF(ISBLANK($I10)=TRUE,"",IF(SIGN(CD10-CF10)=SIGN($G10-$I10),1,0)+IF(CD10=$G10,IF(CF10=$I10,2,0),0))</f>
        <v>0</v>
      </c>
      <c r="CH10" s="3">
        <v>2</v>
      </c>
      <c r="CI10" s="1" t="s">
        <v>1</v>
      </c>
      <c r="CJ10" s="7">
        <v>1</v>
      </c>
      <c r="CK10" s="11">
        <f>IF(ISBLANK($I10)=TRUE,"",IF(SIGN(CH10-CJ10)=SIGN($G10-$I10),1,0)+IF(CH10=$G10,IF(CJ10=$I10,2,0),0))</f>
        <v>0</v>
      </c>
      <c r="CL10" s="3">
        <v>2</v>
      </c>
      <c r="CM10" s="1" t="s">
        <v>1</v>
      </c>
      <c r="CN10" s="7">
        <v>1</v>
      </c>
      <c r="CO10" s="11">
        <f>IF(ISBLANK($I10)=TRUE,"",IF(SIGN(CL10-CN10)=SIGN($G10-$I10),1,0)+IF(CL10=$G10,IF(CN10=$I10,2,0),0))</f>
        <v>0</v>
      </c>
      <c r="CP10" s="3">
        <v>3</v>
      </c>
      <c r="CQ10" s="1" t="s">
        <v>1</v>
      </c>
      <c r="CR10" s="7">
        <v>2</v>
      </c>
      <c r="CS10" s="11">
        <f>IF(ISBLANK($I10)=TRUE,"",IF(SIGN(CP10-CR10)=SIGN($G10-$I10),1,0)+IF(CP10=$G10,IF(CR10=$I10,2,0),0))</f>
        <v>0</v>
      </c>
      <c r="CT10" s="3">
        <v>1</v>
      </c>
      <c r="CU10" s="1" t="s">
        <v>1</v>
      </c>
      <c r="CV10" s="7">
        <v>1</v>
      </c>
      <c r="CW10" s="11">
        <f>IF(ISBLANK($I10)=TRUE,"",IF(SIGN(CT10-CV10)=SIGN($G10-$I10),1,0)+IF(CT10=$G10,IF(CV10=$I10,2,0),0))</f>
        <v>3</v>
      </c>
      <c r="CX10" s="3">
        <v>0</v>
      </c>
      <c r="CY10" s="1" t="s">
        <v>1</v>
      </c>
      <c r="CZ10" s="7">
        <v>2</v>
      </c>
      <c r="DA10" s="11">
        <f>IF(ISBLANK($I10)=TRUE,"",IF(SIGN(CX10-CZ10)=SIGN($G10-$I10),1,0)+IF(CX10=$G10,IF(CZ10=$I10,2,0),0))</f>
        <v>0</v>
      </c>
      <c r="DB10" s="3">
        <v>2</v>
      </c>
      <c r="DC10" s="1" t="s">
        <v>1</v>
      </c>
      <c r="DD10" s="7">
        <v>3</v>
      </c>
      <c r="DE10" s="11">
        <f>IF(ISBLANK($I10)=TRUE,"",IF(SIGN(DB10-DD10)=SIGN($G10-$I10),1,0)+IF(DB10=$G10,IF(DD10=$I10,2,0),0))</f>
        <v>0</v>
      </c>
      <c r="DF10" s="3">
        <v>2</v>
      </c>
      <c r="DG10" s="1" t="s">
        <v>1</v>
      </c>
      <c r="DH10" s="7">
        <v>1</v>
      </c>
      <c r="DI10" s="11">
        <f>IF(ISBLANK($I10)=TRUE,"",IF(SIGN(DF10-DH10)=SIGN($G10-$I10),1,0)+IF(DF10=$G10,IF(DH10=$I10,2,0),0))</f>
        <v>0</v>
      </c>
    </row>
    <row r="11" spans="2:113" x14ac:dyDescent="0.3">
      <c r="B11" s="12">
        <v>46186</v>
      </c>
      <c r="C11" s="7" t="s">
        <v>63</v>
      </c>
      <c r="D11" s="3" t="s">
        <v>17</v>
      </c>
      <c r="E11" s="1" t="s">
        <v>1</v>
      </c>
      <c r="F11" s="5" t="s">
        <v>18</v>
      </c>
      <c r="G11" s="3"/>
      <c r="H11" s="1" t="s">
        <v>1</v>
      </c>
      <c r="I11" s="5"/>
      <c r="J11" s="3">
        <v>0</v>
      </c>
      <c r="K11" s="1" t="s">
        <v>1</v>
      </c>
      <c r="L11" s="7">
        <v>2</v>
      </c>
      <c r="M11" s="9" t="str">
        <f t="shared" ref="M11:M15" si="26">IF(ISBLANK($G11)=TRUE,"",IF(SIGN(J11-L11)=SIGN($G11-$I11),1,0)+IF(J11=$G11,IF(L11=$I11,2,0),0))</f>
        <v/>
      </c>
      <c r="N11" s="3">
        <v>0</v>
      </c>
      <c r="O11" s="1" t="s">
        <v>1</v>
      </c>
      <c r="P11" s="7">
        <v>1</v>
      </c>
      <c r="Q11" s="9" t="str">
        <f t="shared" ref="Q11:Q15" si="27">IF(ISBLANK($G11)=TRUE,"",IF(SIGN(N11-P11)=SIGN($G11-$I11),1,0)+IF(N11=$G11,IF(P11=$I11,2,0),0))</f>
        <v/>
      </c>
      <c r="R11" s="3">
        <v>0</v>
      </c>
      <c r="S11" s="1" t="s">
        <v>1</v>
      </c>
      <c r="T11" s="7">
        <v>2</v>
      </c>
      <c r="U11" s="9" t="str">
        <f t="shared" ref="U11:U15" si="28">IF(ISBLANK($G11)=TRUE,"",IF(SIGN(R11-T11)=SIGN($G11-$I11),1,0)+IF(R11=$G11,IF(T11=$I11,2,0),0))</f>
        <v/>
      </c>
      <c r="V11" s="3">
        <v>0</v>
      </c>
      <c r="W11" s="1" t="s">
        <v>1</v>
      </c>
      <c r="X11" s="7">
        <v>2</v>
      </c>
      <c r="Y11" s="9" t="str">
        <f t="shared" ref="Y11:Y15" si="29">IF(ISBLANK($G11)=TRUE,"",IF(SIGN(V11-X11)=SIGN($G11-$I11),1,0)+IF(V11=$G11,IF(X11=$I11,2,0),0))</f>
        <v/>
      </c>
      <c r="Z11" s="3">
        <v>0</v>
      </c>
      <c r="AA11" s="1" t="s">
        <v>1</v>
      </c>
      <c r="AB11" s="7">
        <v>2</v>
      </c>
      <c r="AC11" s="9" t="str">
        <f t="shared" ref="AC11:AC15" si="30">IF(ISBLANK($G11)=TRUE,"",IF(SIGN(Z11-AB11)=SIGN($G11-$I11),1,0)+IF(Z11=$G11,IF(AB11=$I11,2,0),0))</f>
        <v/>
      </c>
      <c r="AD11" s="3">
        <v>1</v>
      </c>
      <c r="AE11" s="1" t="s">
        <v>1</v>
      </c>
      <c r="AF11" s="7">
        <v>3</v>
      </c>
      <c r="AG11" s="9" t="str">
        <f t="shared" ref="AG11:AG15" si="31">IF(ISBLANK($G11)=TRUE,"",IF(SIGN(AD11-AF11)=SIGN($G11-$I11),1,0)+IF(AD11=$G11,IF(AF11=$I11,2,0),0))</f>
        <v/>
      </c>
      <c r="AH11" s="3">
        <v>0</v>
      </c>
      <c r="AI11" s="1" t="s">
        <v>1</v>
      </c>
      <c r="AJ11" s="7">
        <v>2</v>
      </c>
      <c r="AK11" s="9" t="str">
        <f t="shared" ref="AK11:AK15" si="32">IF(ISBLANK($G11)=TRUE,"",IF(SIGN(AH11-AJ11)=SIGN($G11-$I11),1,0)+IF(AH11=$G11,IF(AJ11=$I11,2,0),0))</f>
        <v/>
      </c>
      <c r="AL11" s="3">
        <v>0</v>
      </c>
      <c r="AM11" s="1" t="s">
        <v>1</v>
      </c>
      <c r="AN11" s="7">
        <v>2</v>
      </c>
      <c r="AO11" s="9" t="str">
        <f t="shared" ref="AO11:AO15" si="33">IF(ISBLANK($G11)=TRUE,"",IF(SIGN(AL11-AN11)=SIGN($G11-$I11),1,0)+IF(AL11=$G11,IF(AN11=$I11,2,0),0))</f>
        <v/>
      </c>
      <c r="AP11" s="3">
        <v>1</v>
      </c>
      <c r="AQ11" s="1" t="s">
        <v>1</v>
      </c>
      <c r="AR11" s="7">
        <v>3</v>
      </c>
      <c r="AS11" s="9" t="str">
        <f t="shared" ref="AS11:AS15" si="34">IF(ISBLANK($G11)=TRUE,"",IF(SIGN(AP11-AR11)=SIGN($G11-$I11),1,0)+IF(AP11=$G11,IF(AR11=$I11,2,0),0))</f>
        <v/>
      </c>
      <c r="AT11" s="3">
        <v>1</v>
      </c>
      <c r="AU11" s="1" t="s">
        <v>1</v>
      </c>
      <c r="AV11" s="7">
        <v>2</v>
      </c>
      <c r="AW11" s="9" t="str">
        <f t="shared" ref="AW11:AW15" si="35">IF(ISBLANK($G11)=TRUE,"",IF(SIGN(AT11-AV11)=SIGN($G11-$I11),1,0)+IF(AT11=$G11,IF(AV11=$I11,2,0),0))</f>
        <v/>
      </c>
      <c r="AX11" s="3">
        <v>1</v>
      </c>
      <c r="AY11" s="1" t="s">
        <v>1</v>
      </c>
      <c r="AZ11" s="7">
        <v>3</v>
      </c>
      <c r="BA11" s="9" t="str">
        <f t="shared" ref="BA11:BA15" si="36">IF(ISBLANK($G11)=TRUE,"",IF(SIGN(AX11-AZ11)=SIGN($G11-$I11),1,0)+IF(AX11=$G11,IF(AZ11=$I11,2,0),0))</f>
        <v/>
      </c>
      <c r="BB11" s="3">
        <v>1</v>
      </c>
      <c r="BC11" s="1" t="s">
        <v>1</v>
      </c>
      <c r="BD11" s="7">
        <v>2</v>
      </c>
      <c r="BE11" s="9" t="str">
        <f t="shared" ref="BE11:BE15" si="37">IF(ISBLANK($G11)=TRUE,"",IF(SIGN(BB11-BD11)=SIGN($G11-$I11),1,0)+IF(BB11=$G11,IF(BD11=$I11,2,0),0))</f>
        <v/>
      </c>
      <c r="BF11" s="3">
        <v>0</v>
      </c>
      <c r="BG11" s="1" t="s">
        <v>1</v>
      </c>
      <c r="BH11" s="7">
        <v>3</v>
      </c>
      <c r="BI11" s="9" t="str">
        <f t="shared" ref="BI11:BI15" si="38">IF(ISBLANK($G11)=TRUE,"",IF(SIGN(BF11-BH11)=SIGN($G11-$I11),1,0)+IF(BF11=$G11,IF(BH11=$I11,2,0),0))</f>
        <v/>
      </c>
      <c r="BJ11" s="3">
        <v>0</v>
      </c>
      <c r="BK11" s="1" t="s">
        <v>1</v>
      </c>
      <c r="BL11" s="7">
        <v>3</v>
      </c>
      <c r="BM11" s="9" t="str">
        <f t="shared" ref="BM11:BM15" si="39">IF(ISBLANK($G11)=TRUE,"",IF(SIGN(BJ11-BL11)=SIGN($G11-$I11),1,0)+IF(BJ11=$G11,IF(BL11=$I11,2,0),0))</f>
        <v/>
      </c>
      <c r="BN11" s="3">
        <v>0</v>
      </c>
      <c r="BO11" s="1" t="s">
        <v>1</v>
      </c>
      <c r="BP11" s="7">
        <v>2</v>
      </c>
      <c r="BQ11" s="9" t="str">
        <f t="shared" ref="BQ11:BQ15" si="40">IF(ISBLANK($G11)=TRUE,"",IF(SIGN(BN11-BP11)=SIGN($G11-$I11),1,0)+IF(BN11=$G11,IF(BP11=$I11,2,0),0))</f>
        <v/>
      </c>
      <c r="BR11" s="3">
        <v>0</v>
      </c>
      <c r="BS11" s="1" t="s">
        <v>1</v>
      </c>
      <c r="BT11" s="7">
        <v>2</v>
      </c>
      <c r="BU11" s="9" t="str">
        <f t="shared" ref="BU11:BU15" si="41">IF(ISBLANK($G11)=TRUE,"",IF(SIGN(BR11-BT11)=SIGN($G11-$I11),1,0)+IF(BR11=$G11,IF(BT11=$I11,2,0),0))</f>
        <v/>
      </c>
      <c r="BV11" s="3">
        <v>1</v>
      </c>
      <c r="BW11" s="1" t="s">
        <v>1</v>
      </c>
      <c r="BX11" s="7">
        <v>4</v>
      </c>
      <c r="BY11" s="9" t="str">
        <f t="shared" ref="BY11:BY15" si="42">IF(ISBLANK($G11)=TRUE,"",IF(SIGN(BV11-BX11)=SIGN($G11-$I11),1,0)+IF(BV11=$G11,IF(BX11=$I11,2,0),0))</f>
        <v/>
      </c>
      <c r="BZ11" s="3">
        <v>1</v>
      </c>
      <c r="CA11" s="1" t="s">
        <v>1</v>
      </c>
      <c r="CB11" s="7">
        <v>2</v>
      </c>
      <c r="CC11" s="9" t="str">
        <f t="shared" ref="CC11:CC15" si="43">IF(ISBLANK($G11)=TRUE,"",IF(SIGN(BZ11-CB11)=SIGN($G11-$I11),1,0)+IF(BZ11=$G11,IF(CB11=$I11,2,0),0))</f>
        <v/>
      </c>
      <c r="CD11" s="3">
        <v>0</v>
      </c>
      <c r="CE11" s="1" t="s">
        <v>1</v>
      </c>
      <c r="CF11" s="7">
        <v>2</v>
      </c>
      <c r="CG11" s="9" t="str">
        <f t="shared" ref="CG11:CG15" si="44">IF(ISBLANK($G11)=TRUE,"",IF(SIGN(CD11-CF11)=SIGN($G11-$I11),1,0)+IF(CD11=$G11,IF(CF11=$I11,2,0),0))</f>
        <v/>
      </c>
      <c r="CH11" s="3">
        <v>0</v>
      </c>
      <c r="CI11" s="1" t="s">
        <v>1</v>
      </c>
      <c r="CJ11" s="7">
        <v>4</v>
      </c>
      <c r="CK11" s="9" t="str">
        <f t="shared" ref="CK11:CK15" si="45">IF(ISBLANK($G11)=TRUE,"",IF(SIGN(CH11-CJ11)=SIGN($G11-$I11),1,0)+IF(CH11=$G11,IF(CJ11=$I11,2,0),0))</f>
        <v/>
      </c>
      <c r="CL11" s="3">
        <v>0</v>
      </c>
      <c r="CM11" s="1" t="s">
        <v>1</v>
      </c>
      <c r="CN11" s="7">
        <v>1</v>
      </c>
      <c r="CO11" s="9" t="str">
        <f t="shared" ref="CO11:CO15" si="46">IF(ISBLANK($G11)=TRUE,"",IF(SIGN(CL11-CN11)=SIGN($G11-$I11),1,0)+IF(CL11=$G11,IF(CN11=$I11,2,0),0))</f>
        <v/>
      </c>
      <c r="CP11" s="3">
        <v>0</v>
      </c>
      <c r="CQ11" s="1" t="s">
        <v>1</v>
      </c>
      <c r="CR11" s="7">
        <v>3</v>
      </c>
      <c r="CS11" s="9" t="str">
        <f t="shared" ref="CS11:CS15" si="47">IF(ISBLANK($G11)=TRUE,"",IF(SIGN(CP11-CR11)=SIGN($G11-$I11),1,0)+IF(CP11=$G11,IF(CR11=$I11,2,0),0))</f>
        <v/>
      </c>
      <c r="CT11" s="3">
        <v>0</v>
      </c>
      <c r="CU11" s="1" t="s">
        <v>1</v>
      </c>
      <c r="CV11" s="7">
        <v>2</v>
      </c>
      <c r="CW11" s="9" t="str">
        <f t="shared" ref="CW11:CW15" si="48">IF(ISBLANK($G11)=TRUE,"",IF(SIGN(CT11-CV11)=SIGN($G11-$I11),1,0)+IF(CT11=$G11,IF(CV11=$I11,2,0),0))</f>
        <v/>
      </c>
      <c r="CX11" s="3">
        <v>1</v>
      </c>
      <c r="CY11" s="1" t="s">
        <v>1</v>
      </c>
      <c r="CZ11" s="7">
        <v>3</v>
      </c>
      <c r="DA11" s="9" t="str">
        <f t="shared" ref="DA11:DA15" si="49">IF(ISBLANK($G11)=TRUE,"",IF(SIGN(CX11-CZ11)=SIGN($G11-$I11),1,0)+IF(CX11=$G11,IF(CZ11=$I11,2,0),0))</f>
        <v/>
      </c>
      <c r="DB11" s="3">
        <v>1</v>
      </c>
      <c r="DC11" s="1" t="s">
        <v>1</v>
      </c>
      <c r="DD11" s="7">
        <v>2</v>
      </c>
      <c r="DE11" s="9" t="str">
        <f t="shared" ref="DE11:DE15" si="50">IF(ISBLANK($G11)=TRUE,"",IF(SIGN(DB11-DD11)=SIGN($G11-$I11),1,0)+IF(DB11=$G11,IF(DD11=$I11,2,0),0))</f>
        <v/>
      </c>
      <c r="DF11" s="3">
        <v>3</v>
      </c>
      <c r="DG11" s="1" t="s">
        <v>1</v>
      </c>
      <c r="DH11" s="7">
        <v>2</v>
      </c>
      <c r="DI11" s="9" t="str">
        <f t="shared" ref="DI11:DI15" si="51">IF(ISBLANK($G11)=TRUE,"",IF(SIGN(DF11-DH11)=SIGN($G11-$I11),1,0)+IF(DF11=$G11,IF(DH11=$I11,2,0),0))</f>
        <v/>
      </c>
    </row>
    <row r="12" spans="2:113" x14ac:dyDescent="0.3">
      <c r="B12" s="12">
        <v>46191</v>
      </c>
      <c r="C12" s="7" t="s">
        <v>63</v>
      </c>
      <c r="D12" s="3" t="s">
        <v>18</v>
      </c>
      <c r="E12" s="1" t="s">
        <v>1</v>
      </c>
      <c r="F12" s="5" t="s">
        <v>16</v>
      </c>
      <c r="G12" s="3"/>
      <c r="H12" s="1" t="s">
        <v>1</v>
      </c>
      <c r="I12" s="5"/>
      <c r="J12" s="3">
        <v>2</v>
      </c>
      <c r="K12" s="1" t="s">
        <v>1</v>
      </c>
      <c r="L12" s="7">
        <v>0</v>
      </c>
      <c r="M12" s="9" t="str">
        <f t="shared" si="26"/>
        <v/>
      </c>
      <c r="N12" s="3">
        <v>1</v>
      </c>
      <c r="O12" s="1" t="s">
        <v>1</v>
      </c>
      <c r="P12" s="7">
        <v>0</v>
      </c>
      <c r="Q12" s="9" t="str">
        <f t="shared" si="27"/>
        <v/>
      </c>
      <c r="R12" s="3">
        <v>2</v>
      </c>
      <c r="S12" s="1" t="s">
        <v>1</v>
      </c>
      <c r="T12" s="7">
        <v>0</v>
      </c>
      <c r="U12" s="9" t="str">
        <f t="shared" si="28"/>
        <v/>
      </c>
      <c r="V12" s="3">
        <v>2</v>
      </c>
      <c r="W12" s="1" t="s">
        <v>1</v>
      </c>
      <c r="X12" s="7">
        <v>1</v>
      </c>
      <c r="Y12" s="9" t="str">
        <f t="shared" si="29"/>
        <v/>
      </c>
      <c r="Z12" s="3">
        <v>2</v>
      </c>
      <c r="AA12" s="1" t="s">
        <v>1</v>
      </c>
      <c r="AB12" s="7">
        <v>1</v>
      </c>
      <c r="AC12" s="9" t="str">
        <f t="shared" si="30"/>
        <v/>
      </c>
      <c r="AD12" s="3">
        <v>2</v>
      </c>
      <c r="AE12" s="1" t="s">
        <v>1</v>
      </c>
      <c r="AF12" s="7">
        <v>1</v>
      </c>
      <c r="AG12" s="9" t="str">
        <f t="shared" si="31"/>
        <v/>
      </c>
      <c r="AH12" s="3">
        <v>1</v>
      </c>
      <c r="AI12" s="1" t="s">
        <v>1</v>
      </c>
      <c r="AJ12" s="7">
        <v>1</v>
      </c>
      <c r="AK12" s="9" t="str">
        <f t="shared" si="32"/>
        <v/>
      </c>
      <c r="AL12" s="3">
        <v>1</v>
      </c>
      <c r="AM12" s="1" t="s">
        <v>1</v>
      </c>
      <c r="AN12" s="7">
        <v>0</v>
      </c>
      <c r="AO12" s="9" t="str">
        <f t="shared" si="33"/>
        <v/>
      </c>
      <c r="AP12" s="3">
        <v>2</v>
      </c>
      <c r="AQ12" s="1" t="s">
        <v>1</v>
      </c>
      <c r="AR12" s="7">
        <v>0</v>
      </c>
      <c r="AS12" s="9" t="str">
        <f t="shared" si="34"/>
        <v/>
      </c>
      <c r="AT12" s="3">
        <v>1</v>
      </c>
      <c r="AU12" s="1" t="s">
        <v>1</v>
      </c>
      <c r="AV12" s="7">
        <v>0</v>
      </c>
      <c r="AW12" s="9" t="str">
        <f t="shared" si="35"/>
        <v/>
      </c>
      <c r="AX12" s="3">
        <v>2</v>
      </c>
      <c r="AY12" s="1" t="s">
        <v>1</v>
      </c>
      <c r="AZ12" s="7">
        <v>0</v>
      </c>
      <c r="BA12" s="9" t="str">
        <f t="shared" si="36"/>
        <v/>
      </c>
      <c r="BB12" s="3">
        <v>2</v>
      </c>
      <c r="BC12" s="1" t="s">
        <v>1</v>
      </c>
      <c r="BD12" s="7">
        <v>1</v>
      </c>
      <c r="BE12" s="9" t="str">
        <f t="shared" si="37"/>
        <v/>
      </c>
      <c r="BF12" s="3">
        <v>1</v>
      </c>
      <c r="BG12" s="1" t="s">
        <v>1</v>
      </c>
      <c r="BH12" s="7">
        <v>0</v>
      </c>
      <c r="BI12" s="9" t="str">
        <f t="shared" si="38"/>
        <v/>
      </c>
      <c r="BJ12" s="3">
        <v>2</v>
      </c>
      <c r="BK12" s="1" t="s">
        <v>1</v>
      </c>
      <c r="BL12" s="7">
        <v>1</v>
      </c>
      <c r="BM12" s="9" t="str">
        <f t="shared" si="39"/>
        <v/>
      </c>
      <c r="BN12" s="3">
        <v>1</v>
      </c>
      <c r="BO12" s="1" t="s">
        <v>1</v>
      </c>
      <c r="BP12" s="7">
        <v>0</v>
      </c>
      <c r="BQ12" s="9" t="str">
        <f t="shared" si="40"/>
        <v/>
      </c>
      <c r="BR12" s="3">
        <v>2</v>
      </c>
      <c r="BS12" s="1" t="s">
        <v>1</v>
      </c>
      <c r="BT12" s="7">
        <v>1</v>
      </c>
      <c r="BU12" s="9" t="str">
        <f t="shared" si="41"/>
        <v/>
      </c>
      <c r="BV12" s="3">
        <v>2</v>
      </c>
      <c r="BW12" s="1" t="s">
        <v>1</v>
      </c>
      <c r="BX12" s="7">
        <v>0</v>
      </c>
      <c r="BY12" s="9" t="str">
        <f t="shared" si="42"/>
        <v/>
      </c>
      <c r="BZ12" s="3">
        <v>3</v>
      </c>
      <c r="CA12" s="1" t="s">
        <v>1</v>
      </c>
      <c r="CB12" s="7">
        <v>0</v>
      </c>
      <c r="CC12" s="9" t="str">
        <f t="shared" si="43"/>
        <v/>
      </c>
      <c r="CD12" s="3">
        <v>2</v>
      </c>
      <c r="CE12" s="1" t="s">
        <v>1</v>
      </c>
      <c r="CF12" s="7">
        <v>0</v>
      </c>
      <c r="CG12" s="9" t="str">
        <f t="shared" si="44"/>
        <v/>
      </c>
      <c r="CH12" s="3">
        <v>3</v>
      </c>
      <c r="CI12" s="1" t="s">
        <v>1</v>
      </c>
      <c r="CJ12" s="7">
        <v>1</v>
      </c>
      <c r="CK12" s="9" t="str">
        <f t="shared" si="45"/>
        <v/>
      </c>
      <c r="CL12" s="3">
        <v>1</v>
      </c>
      <c r="CM12" s="1" t="s">
        <v>1</v>
      </c>
      <c r="CN12" s="7">
        <v>1</v>
      </c>
      <c r="CO12" s="9" t="str">
        <f t="shared" si="46"/>
        <v/>
      </c>
      <c r="CP12" s="3">
        <v>2</v>
      </c>
      <c r="CQ12" s="1" t="s">
        <v>1</v>
      </c>
      <c r="CR12" s="7">
        <v>1</v>
      </c>
      <c r="CS12" s="9" t="str">
        <f t="shared" si="47"/>
        <v/>
      </c>
      <c r="CT12" s="3">
        <v>3</v>
      </c>
      <c r="CU12" s="1" t="s">
        <v>1</v>
      </c>
      <c r="CV12" s="7">
        <v>1</v>
      </c>
      <c r="CW12" s="9" t="str">
        <f t="shared" si="48"/>
        <v/>
      </c>
      <c r="CX12" s="3">
        <v>2</v>
      </c>
      <c r="CY12" s="1" t="s">
        <v>1</v>
      </c>
      <c r="CZ12" s="7">
        <v>1</v>
      </c>
      <c r="DA12" s="9" t="str">
        <f t="shared" si="49"/>
        <v/>
      </c>
      <c r="DB12" s="3">
        <v>3</v>
      </c>
      <c r="DC12" s="1" t="s">
        <v>1</v>
      </c>
      <c r="DD12" s="7">
        <v>1</v>
      </c>
      <c r="DE12" s="9" t="str">
        <f t="shared" si="50"/>
        <v/>
      </c>
      <c r="DF12" s="3">
        <v>1</v>
      </c>
      <c r="DG12" s="1" t="s">
        <v>1</v>
      </c>
      <c r="DH12" s="7">
        <v>2</v>
      </c>
      <c r="DI12" s="9" t="str">
        <f t="shared" si="51"/>
        <v/>
      </c>
    </row>
    <row r="13" spans="2:113" x14ac:dyDescent="0.3">
      <c r="B13" s="12">
        <v>46192</v>
      </c>
      <c r="C13" s="7" t="s">
        <v>67</v>
      </c>
      <c r="D13" s="3" t="s">
        <v>15</v>
      </c>
      <c r="E13" s="1" t="s">
        <v>1</v>
      </c>
      <c r="F13" s="5" t="s">
        <v>17</v>
      </c>
      <c r="G13" s="3"/>
      <c r="H13" s="1" t="s">
        <v>1</v>
      </c>
      <c r="I13" s="5"/>
      <c r="J13" s="3">
        <v>2</v>
      </c>
      <c r="K13" s="1" t="s">
        <v>1</v>
      </c>
      <c r="L13" s="7">
        <v>0</v>
      </c>
      <c r="M13" s="9" t="str">
        <f t="shared" si="26"/>
        <v/>
      </c>
      <c r="N13" s="3">
        <v>1</v>
      </c>
      <c r="O13" s="1" t="s">
        <v>1</v>
      </c>
      <c r="P13" s="7">
        <v>0</v>
      </c>
      <c r="Q13" s="9" t="str">
        <f t="shared" si="27"/>
        <v/>
      </c>
      <c r="R13" s="3">
        <v>1</v>
      </c>
      <c r="S13" s="1" t="s">
        <v>1</v>
      </c>
      <c r="T13" s="7">
        <v>1</v>
      </c>
      <c r="U13" s="9" t="str">
        <f t="shared" si="28"/>
        <v/>
      </c>
      <c r="V13" s="3">
        <v>2</v>
      </c>
      <c r="W13" s="1" t="s">
        <v>1</v>
      </c>
      <c r="X13" s="7">
        <v>0</v>
      </c>
      <c r="Y13" s="9" t="str">
        <f t="shared" si="29"/>
        <v/>
      </c>
      <c r="Z13" s="3">
        <v>1</v>
      </c>
      <c r="AA13" s="1" t="s">
        <v>1</v>
      </c>
      <c r="AB13" s="7">
        <v>0</v>
      </c>
      <c r="AC13" s="9" t="str">
        <f t="shared" si="30"/>
        <v/>
      </c>
      <c r="AD13" s="3">
        <v>2</v>
      </c>
      <c r="AE13" s="1" t="s">
        <v>1</v>
      </c>
      <c r="AF13" s="7">
        <v>0</v>
      </c>
      <c r="AG13" s="9" t="str">
        <f t="shared" si="31"/>
        <v/>
      </c>
      <c r="AH13" s="3">
        <v>1</v>
      </c>
      <c r="AI13" s="1" t="s">
        <v>1</v>
      </c>
      <c r="AJ13" s="7">
        <v>0</v>
      </c>
      <c r="AK13" s="9" t="str">
        <f t="shared" si="32"/>
        <v/>
      </c>
      <c r="AL13" s="3">
        <v>1</v>
      </c>
      <c r="AM13" s="1" t="s">
        <v>1</v>
      </c>
      <c r="AN13" s="7">
        <v>0</v>
      </c>
      <c r="AO13" s="9" t="str">
        <f t="shared" si="33"/>
        <v/>
      </c>
      <c r="AP13" s="3">
        <v>2</v>
      </c>
      <c r="AQ13" s="1" t="s">
        <v>1</v>
      </c>
      <c r="AR13" s="7">
        <v>2</v>
      </c>
      <c r="AS13" s="9" t="str">
        <f t="shared" si="34"/>
        <v/>
      </c>
      <c r="AT13" s="3">
        <v>1</v>
      </c>
      <c r="AU13" s="1" t="s">
        <v>1</v>
      </c>
      <c r="AV13" s="7">
        <v>1</v>
      </c>
      <c r="AW13" s="9" t="str">
        <f t="shared" si="35"/>
        <v/>
      </c>
      <c r="AX13" s="3">
        <v>2</v>
      </c>
      <c r="AY13" s="1" t="s">
        <v>1</v>
      </c>
      <c r="AZ13" s="7">
        <v>1</v>
      </c>
      <c r="BA13" s="9" t="str">
        <f t="shared" si="36"/>
        <v/>
      </c>
      <c r="BB13" s="3">
        <v>1</v>
      </c>
      <c r="BC13" s="1" t="s">
        <v>1</v>
      </c>
      <c r="BD13" s="7">
        <v>1</v>
      </c>
      <c r="BE13" s="9" t="str">
        <f t="shared" si="37"/>
        <v/>
      </c>
      <c r="BF13" s="3">
        <v>0</v>
      </c>
      <c r="BG13" s="1" t="s">
        <v>1</v>
      </c>
      <c r="BH13" s="7">
        <v>0</v>
      </c>
      <c r="BI13" s="9" t="str">
        <f t="shared" si="38"/>
        <v/>
      </c>
      <c r="BJ13" s="3">
        <v>1</v>
      </c>
      <c r="BK13" s="1" t="s">
        <v>1</v>
      </c>
      <c r="BL13" s="7">
        <v>0</v>
      </c>
      <c r="BM13" s="9" t="str">
        <f t="shared" si="39"/>
        <v/>
      </c>
      <c r="BN13" s="3">
        <v>2</v>
      </c>
      <c r="BO13" s="1" t="s">
        <v>1</v>
      </c>
      <c r="BP13" s="7">
        <v>0</v>
      </c>
      <c r="BQ13" s="9" t="str">
        <f t="shared" si="40"/>
        <v/>
      </c>
      <c r="BR13" s="3">
        <v>2</v>
      </c>
      <c r="BS13" s="1" t="s">
        <v>1</v>
      </c>
      <c r="BT13" s="7">
        <v>1</v>
      </c>
      <c r="BU13" s="9" t="str">
        <f t="shared" si="41"/>
        <v/>
      </c>
      <c r="BV13" s="3">
        <v>1</v>
      </c>
      <c r="BW13" s="1" t="s">
        <v>1</v>
      </c>
      <c r="BX13" s="7">
        <v>0</v>
      </c>
      <c r="BY13" s="9" t="str">
        <f t="shared" si="42"/>
        <v/>
      </c>
      <c r="BZ13" s="3">
        <v>2</v>
      </c>
      <c r="CA13" s="1" t="s">
        <v>1</v>
      </c>
      <c r="CB13" s="7">
        <v>1</v>
      </c>
      <c r="CC13" s="9" t="str">
        <f t="shared" si="43"/>
        <v/>
      </c>
      <c r="CD13" s="3">
        <v>3</v>
      </c>
      <c r="CE13" s="1" t="s">
        <v>1</v>
      </c>
      <c r="CF13" s="7">
        <v>0</v>
      </c>
      <c r="CG13" s="9" t="str">
        <f t="shared" si="44"/>
        <v/>
      </c>
      <c r="CH13" s="3">
        <v>2</v>
      </c>
      <c r="CI13" s="1" t="s">
        <v>1</v>
      </c>
      <c r="CJ13" s="7">
        <v>0</v>
      </c>
      <c r="CK13" s="9" t="str">
        <f t="shared" si="45"/>
        <v/>
      </c>
      <c r="CL13" s="3">
        <v>2</v>
      </c>
      <c r="CM13" s="1" t="s">
        <v>1</v>
      </c>
      <c r="CN13" s="7">
        <v>0</v>
      </c>
      <c r="CO13" s="9" t="str">
        <f t="shared" si="46"/>
        <v/>
      </c>
      <c r="CP13" s="3">
        <v>2</v>
      </c>
      <c r="CQ13" s="1" t="s">
        <v>1</v>
      </c>
      <c r="CR13" s="7">
        <v>0</v>
      </c>
      <c r="CS13" s="9" t="str">
        <f t="shared" si="47"/>
        <v/>
      </c>
      <c r="CT13" s="3">
        <v>2</v>
      </c>
      <c r="CU13" s="1" t="s">
        <v>1</v>
      </c>
      <c r="CV13" s="7">
        <v>0</v>
      </c>
      <c r="CW13" s="9" t="str">
        <f t="shared" si="48"/>
        <v/>
      </c>
      <c r="CX13" s="3">
        <v>1</v>
      </c>
      <c r="CY13" s="1" t="s">
        <v>1</v>
      </c>
      <c r="CZ13" s="7">
        <v>1</v>
      </c>
      <c r="DA13" s="9" t="str">
        <f t="shared" si="49"/>
        <v/>
      </c>
      <c r="DB13" s="3">
        <v>2</v>
      </c>
      <c r="DC13" s="1" t="s">
        <v>1</v>
      </c>
      <c r="DD13" s="7">
        <v>2</v>
      </c>
      <c r="DE13" s="9" t="str">
        <f t="shared" si="50"/>
        <v/>
      </c>
      <c r="DF13" s="3">
        <v>1</v>
      </c>
      <c r="DG13" s="1" t="s">
        <v>1</v>
      </c>
      <c r="DH13" s="7">
        <v>2</v>
      </c>
      <c r="DI13" s="9" t="str">
        <f t="shared" si="51"/>
        <v/>
      </c>
    </row>
    <row r="14" spans="2:113" x14ac:dyDescent="0.3">
      <c r="B14" s="12">
        <v>46197</v>
      </c>
      <c r="C14" s="7" t="s">
        <v>63</v>
      </c>
      <c r="D14" s="3" t="s">
        <v>18</v>
      </c>
      <c r="E14" s="1" t="s">
        <v>1</v>
      </c>
      <c r="F14" s="5" t="s">
        <v>15</v>
      </c>
      <c r="G14" s="3"/>
      <c r="H14" s="1" t="s">
        <v>1</v>
      </c>
      <c r="I14" s="5"/>
      <c r="J14" s="3">
        <v>2</v>
      </c>
      <c r="K14" s="1" t="s">
        <v>1</v>
      </c>
      <c r="L14" s="7">
        <v>1</v>
      </c>
      <c r="M14" s="9" t="str">
        <f t="shared" si="26"/>
        <v/>
      </c>
      <c r="N14" s="3">
        <v>1</v>
      </c>
      <c r="O14" s="1" t="s">
        <v>1</v>
      </c>
      <c r="P14" s="7">
        <v>0</v>
      </c>
      <c r="Q14" s="9" t="str">
        <f t="shared" si="27"/>
        <v/>
      </c>
      <c r="R14" s="3">
        <v>1</v>
      </c>
      <c r="S14" s="1" t="s">
        <v>1</v>
      </c>
      <c r="T14" s="7">
        <v>1</v>
      </c>
      <c r="U14" s="9" t="str">
        <f t="shared" si="28"/>
        <v/>
      </c>
      <c r="V14" s="3">
        <v>2</v>
      </c>
      <c r="W14" s="1" t="s">
        <v>1</v>
      </c>
      <c r="X14" s="7">
        <v>1</v>
      </c>
      <c r="Y14" s="9" t="str">
        <f t="shared" si="29"/>
        <v/>
      </c>
      <c r="Z14" s="3">
        <v>2</v>
      </c>
      <c r="AA14" s="1" t="s">
        <v>1</v>
      </c>
      <c r="AB14" s="7">
        <v>0</v>
      </c>
      <c r="AC14" s="9" t="str">
        <f t="shared" si="30"/>
        <v/>
      </c>
      <c r="AD14" s="3">
        <v>2</v>
      </c>
      <c r="AE14" s="1" t="s">
        <v>1</v>
      </c>
      <c r="AF14" s="7">
        <v>2</v>
      </c>
      <c r="AG14" s="9" t="str">
        <f t="shared" si="31"/>
        <v/>
      </c>
      <c r="AH14" s="3">
        <v>2</v>
      </c>
      <c r="AI14" s="1" t="s">
        <v>1</v>
      </c>
      <c r="AJ14" s="7">
        <v>0</v>
      </c>
      <c r="AK14" s="9" t="str">
        <f t="shared" si="32"/>
        <v/>
      </c>
      <c r="AL14" s="3">
        <v>0</v>
      </c>
      <c r="AM14" s="1" t="s">
        <v>1</v>
      </c>
      <c r="AN14" s="7">
        <v>0</v>
      </c>
      <c r="AO14" s="9" t="str">
        <f t="shared" si="33"/>
        <v/>
      </c>
      <c r="AP14" s="3">
        <v>1</v>
      </c>
      <c r="AQ14" s="1" t="s">
        <v>1</v>
      </c>
      <c r="AR14" s="7">
        <v>0</v>
      </c>
      <c r="AS14" s="9" t="str">
        <f t="shared" si="34"/>
        <v/>
      </c>
      <c r="AT14" s="3">
        <v>3</v>
      </c>
      <c r="AU14" s="1" t="s">
        <v>1</v>
      </c>
      <c r="AV14" s="7">
        <v>2</v>
      </c>
      <c r="AW14" s="9" t="str">
        <f t="shared" si="35"/>
        <v/>
      </c>
      <c r="AX14" s="3">
        <v>1</v>
      </c>
      <c r="AY14" s="1" t="s">
        <v>1</v>
      </c>
      <c r="AZ14" s="7">
        <v>0</v>
      </c>
      <c r="BA14" s="9" t="str">
        <f t="shared" si="36"/>
        <v/>
      </c>
      <c r="BB14" s="3">
        <v>2</v>
      </c>
      <c r="BC14" s="1" t="s">
        <v>1</v>
      </c>
      <c r="BD14" s="7">
        <v>1</v>
      </c>
      <c r="BE14" s="9" t="str">
        <f t="shared" si="37"/>
        <v/>
      </c>
      <c r="BF14" s="3">
        <v>1</v>
      </c>
      <c r="BG14" s="1" t="s">
        <v>1</v>
      </c>
      <c r="BH14" s="7">
        <v>1</v>
      </c>
      <c r="BI14" s="9" t="str">
        <f t="shared" si="38"/>
        <v/>
      </c>
      <c r="BJ14" s="3">
        <v>2</v>
      </c>
      <c r="BK14" s="1" t="s">
        <v>1</v>
      </c>
      <c r="BL14" s="7">
        <v>1</v>
      </c>
      <c r="BM14" s="9" t="str">
        <f t="shared" si="39"/>
        <v/>
      </c>
      <c r="BN14" s="3">
        <v>1</v>
      </c>
      <c r="BO14" s="1" t="s">
        <v>1</v>
      </c>
      <c r="BP14" s="7">
        <v>1</v>
      </c>
      <c r="BQ14" s="9" t="str">
        <f t="shared" si="40"/>
        <v/>
      </c>
      <c r="BR14" s="3">
        <v>1</v>
      </c>
      <c r="BS14" s="1" t="s">
        <v>1</v>
      </c>
      <c r="BT14" s="7">
        <v>1</v>
      </c>
      <c r="BU14" s="9" t="str">
        <f t="shared" si="41"/>
        <v/>
      </c>
      <c r="BV14" s="3">
        <v>1</v>
      </c>
      <c r="BW14" s="1" t="s">
        <v>1</v>
      </c>
      <c r="BX14" s="7">
        <v>1</v>
      </c>
      <c r="BY14" s="9" t="str">
        <f t="shared" si="42"/>
        <v/>
      </c>
      <c r="BZ14" s="3">
        <v>2</v>
      </c>
      <c r="CA14" s="1" t="s">
        <v>1</v>
      </c>
      <c r="CB14" s="7">
        <v>0</v>
      </c>
      <c r="CC14" s="9" t="str">
        <f t="shared" si="43"/>
        <v/>
      </c>
      <c r="CD14" s="3">
        <v>1</v>
      </c>
      <c r="CE14" s="1" t="s">
        <v>1</v>
      </c>
      <c r="CF14" s="7">
        <v>1</v>
      </c>
      <c r="CG14" s="9" t="str">
        <f t="shared" si="44"/>
        <v/>
      </c>
      <c r="CH14" s="3">
        <v>2</v>
      </c>
      <c r="CI14" s="1" t="s">
        <v>1</v>
      </c>
      <c r="CJ14" s="7">
        <v>1</v>
      </c>
      <c r="CK14" s="9" t="str">
        <f t="shared" si="45"/>
        <v/>
      </c>
      <c r="CL14" s="3">
        <v>1</v>
      </c>
      <c r="CM14" s="1" t="s">
        <v>1</v>
      </c>
      <c r="CN14" s="7">
        <v>0</v>
      </c>
      <c r="CO14" s="9" t="str">
        <f t="shared" si="46"/>
        <v/>
      </c>
      <c r="CP14" s="3">
        <v>1</v>
      </c>
      <c r="CQ14" s="1" t="s">
        <v>1</v>
      </c>
      <c r="CR14" s="7">
        <v>0</v>
      </c>
      <c r="CS14" s="9" t="str">
        <f t="shared" si="47"/>
        <v/>
      </c>
      <c r="CT14" s="3">
        <v>2</v>
      </c>
      <c r="CU14" s="1" t="s">
        <v>1</v>
      </c>
      <c r="CV14" s="7">
        <v>1</v>
      </c>
      <c r="CW14" s="9" t="str">
        <f t="shared" si="48"/>
        <v/>
      </c>
      <c r="CX14" s="3">
        <v>3</v>
      </c>
      <c r="CY14" s="1" t="s">
        <v>1</v>
      </c>
      <c r="CZ14" s="7">
        <v>0</v>
      </c>
      <c r="DA14" s="9" t="str">
        <f t="shared" si="49"/>
        <v/>
      </c>
      <c r="DB14" s="3">
        <v>3</v>
      </c>
      <c r="DC14" s="1" t="s">
        <v>1</v>
      </c>
      <c r="DD14" s="7">
        <v>0</v>
      </c>
      <c r="DE14" s="9" t="str">
        <f t="shared" si="50"/>
        <v/>
      </c>
      <c r="DF14" s="3">
        <v>1</v>
      </c>
      <c r="DG14" s="1" t="s">
        <v>1</v>
      </c>
      <c r="DH14" s="7">
        <v>1</v>
      </c>
      <c r="DI14" s="9" t="str">
        <f t="shared" si="51"/>
        <v/>
      </c>
    </row>
    <row r="15" spans="2:113" ht="15" thickBot="1" x14ac:dyDescent="0.35">
      <c r="B15" s="13">
        <v>46197</v>
      </c>
      <c r="C15" s="8" t="s">
        <v>63</v>
      </c>
      <c r="D15" s="4" t="s">
        <v>16</v>
      </c>
      <c r="E15" s="2" t="s">
        <v>1</v>
      </c>
      <c r="F15" s="6" t="s">
        <v>17</v>
      </c>
      <c r="G15" s="4"/>
      <c r="H15" s="2" t="s">
        <v>1</v>
      </c>
      <c r="I15" s="6"/>
      <c r="J15" s="4">
        <v>2</v>
      </c>
      <c r="K15" s="2" t="s">
        <v>1</v>
      </c>
      <c r="L15" s="8">
        <v>1</v>
      </c>
      <c r="M15" s="10" t="str">
        <f t="shared" si="26"/>
        <v/>
      </c>
      <c r="N15" s="4">
        <v>1</v>
      </c>
      <c r="O15" s="2" t="s">
        <v>1</v>
      </c>
      <c r="P15" s="8">
        <v>0</v>
      </c>
      <c r="Q15" s="10" t="str">
        <f t="shared" si="27"/>
        <v/>
      </c>
      <c r="R15" s="4">
        <v>2</v>
      </c>
      <c r="S15" s="2" t="s">
        <v>1</v>
      </c>
      <c r="T15" s="8">
        <v>0</v>
      </c>
      <c r="U15" s="10" t="str">
        <f t="shared" si="28"/>
        <v/>
      </c>
      <c r="V15" s="4">
        <v>1</v>
      </c>
      <c r="W15" s="2" t="s">
        <v>1</v>
      </c>
      <c r="X15" s="8">
        <v>1</v>
      </c>
      <c r="Y15" s="10" t="str">
        <f t="shared" si="29"/>
        <v/>
      </c>
      <c r="Z15" s="4">
        <v>1</v>
      </c>
      <c r="AA15" s="2" t="s">
        <v>1</v>
      </c>
      <c r="AB15" s="8">
        <v>0</v>
      </c>
      <c r="AC15" s="10" t="str">
        <f t="shared" si="30"/>
        <v/>
      </c>
      <c r="AD15" s="4">
        <v>1</v>
      </c>
      <c r="AE15" s="2" t="s">
        <v>1</v>
      </c>
      <c r="AF15" s="8">
        <v>1</v>
      </c>
      <c r="AG15" s="10" t="str">
        <f t="shared" si="31"/>
        <v/>
      </c>
      <c r="AH15" s="4">
        <v>2</v>
      </c>
      <c r="AI15" s="2" t="s">
        <v>1</v>
      </c>
      <c r="AJ15" s="8">
        <v>0</v>
      </c>
      <c r="AK15" s="10" t="str">
        <f t="shared" si="32"/>
        <v/>
      </c>
      <c r="AL15" s="4">
        <v>1</v>
      </c>
      <c r="AM15" s="2" t="s">
        <v>1</v>
      </c>
      <c r="AN15" s="8">
        <v>0</v>
      </c>
      <c r="AO15" s="10" t="str">
        <f t="shared" si="33"/>
        <v/>
      </c>
      <c r="AP15" s="4">
        <v>2</v>
      </c>
      <c r="AQ15" s="2" t="s">
        <v>1</v>
      </c>
      <c r="AR15" s="8">
        <v>1</v>
      </c>
      <c r="AS15" s="10" t="str">
        <f t="shared" si="34"/>
        <v/>
      </c>
      <c r="AT15" s="4">
        <v>2</v>
      </c>
      <c r="AU15" s="2" t="s">
        <v>1</v>
      </c>
      <c r="AV15" s="8">
        <v>1</v>
      </c>
      <c r="AW15" s="10" t="str">
        <f t="shared" si="35"/>
        <v/>
      </c>
      <c r="AX15" s="4">
        <v>0</v>
      </c>
      <c r="AY15" s="2" t="s">
        <v>1</v>
      </c>
      <c r="AZ15" s="8">
        <v>1</v>
      </c>
      <c r="BA15" s="10" t="str">
        <f t="shared" si="36"/>
        <v/>
      </c>
      <c r="BB15" s="4">
        <v>1</v>
      </c>
      <c r="BC15" s="2" t="s">
        <v>1</v>
      </c>
      <c r="BD15" s="8">
        <v>1</v>
      </c>
      <c r="BE15" s="10" t="str">
        <f t="shared" si="37"/>
        <v/>
      </c>
      <c r="BF15" s="4">
        <v>2</v>
      </c>
      <c r="BG15" s="2" t="s">
        <v>1</v>
      </c>
      <c r="BH15" s="8">
        <v>0</v>
      </c>
      <c r="BI15" s="10" t="str">
        <f t="shared" si="38"/>
        <v/>
      </c>
      <c r="BJ15" s="4">
        <v>1</v>
      </c>
      <c r="BK15" s="2" t="s">
        <v>1</v>
      </c>
      <c r="BL15" s="8">
        <v>0</v>
      </c>
      <c r="BM15" s="10" t="str">
        <f t="shared" si="39"/>
        <v/>
      </c>
      <c r="BN15" s="4">
        <v>1</v>
      </c>
      <c r="BO15" s="2" t="s">
        <v>1</v>
      </c>
      <c r="BP15" s="8">
        <v>0</v>
      </c>
      <c r="BQ15" s="10" t="str">
        <f t="shared" si="40"/>
        <v/>
      </c>
      <c r="BR15" s="4">
        <v>1</v>
      </c>
      <c r="BS15" s="2" t="s">
        <v>1</v>
      </c>
      <c r="BT15" s="8">
        <v>0</v>
      </c>
      <c r="BU15" s="10" t="str">
        <f t="shared" si="41"/>
        <v/>
      </c>
      <c r="BV15" s="4">
        <v>2</v>
      </c>
      <c r="BW15" s="2" t="s">
        <v>1</v>
      </c>
      <c r="BX15" s="8">
        <v>0</v>
      </c>
      <c r="BY15" s="10" t="str">
        <f t="shared" si="42"/>
        <v/>
      </c>
      <c r="BZ15" s="4">
        <v>1</v>
      </c>
      <c r="CA15" s="2" t="s">
        <v>1</v>
      </c>
      <c r="CB15" s="8">
        <v>3</v>
      </c>
      <c r="CC15" s="10" t="str">
        <f t="shared" si="43"/>
        <v/>
      </c>
      <c r="CD15" s="4">
        <v>2</v>
      </c>
      <c r="CE15" s="2" t="s">
        <v>1</v>
      </c>
      <c r="CF15" s="8">
        <v>1</v>
      </c>
      <c r="CG15" s="10" t="str">
        <f t="shared" si="44"/>
        <v/>
      </c>
      <c r="CH15" s="4">
        <v>2</v>
      </c>
      <c r="CI15" s="2" t="s">
        <v>1</v>
      </c>
      <c r="CJ15" s="8">
        <v>0</v>
      </c>
      <c r="CK15" s="10" t="str">
        <f t="shared" si="45"/>
        <v/>
      </c>
      <c r="CL15" s="4">
        <v>0</v>
      </c>
      <c r="CM15" s="2" t="s">
        <v>1</v>
      </c>
      <c r="CN15" s="8">
        <v>2</v>
      </c>
      <c r="CO15" s="10" t="str">
        <f t="shared" si="46"/>
        <v/>
      </c>
      <c r="CP15" s="4">
        <v>2</v>
      </c>
      <c r="CQ15" s="2" t="s">
        <v>1</v>
      </c>
      <c r="CR15" s="8">
        <v>1</v>
      </c>
      <c r="CS15" s="10" t="str">
        <f t="shared" si="47"/>
        <v/>
      </c>
      <c r="CT15" s="4">
        <v>1</v>
      </c>
      <c r="CU15" s="2" t="s">
        <v>1</v>
      </c>
      <c r="CV15" s="8">
        <v>0</v>
      </c>
      <c r="CW15" s="10" t="str">
        <f t="shared" si="48"/>
        <v/>
      </c>
      <c r="CX15" s="4">
        <v>2</v>
      </c>
      <c r="CY15" s="2" t="s">
        <v>1</v>
      </c>
      <c r="CZ15" s="8">
        <v>0</v>
      </c>
      <c r="DA15" s="10" t="str">
        <f t="shared" si="49"/>
        <v/>
      </c>
      <c r="DB15" s="4">
        <v>3</v>
      </c>
      <c r="DC15" s="2" t="s">
        <v>1</v>
      </c>
      <c r="DD15" s="8">
        <v>1</v>
      </c>
      <c r="DE15" s="10" t="str">
        <f t="shared" si="50"/>
        <v/>
      </c>
      <c r="DF15" s="4">
        <v>1</v>
      </c>
      <c r="DG15" s="2" t="s">
        <v>1</v>
      </c>
      <c r="DH15" s="8">
        <v>0</v>
      </c>
      <c r="DI15" s="10" t="str">
        <f t="shared" si="51"/>
        <v/>
      </c>
    </row>
    <row r="16" spans="2:113" ht="15" thickBot="1" x14ac:dyDescent="0.35">
      <c r="B16" s="51" t="s">
        <v>77</v>
      </c>
      <c r="C16" s="52" t="s">
        <v>78</v>
      </c>
      <c r="D16" s="157" t="s">
        <v>9</v>
      </c>
      <c r="E16" s="158"/>
      <c r="F16" s="159"/>
      <c r="G16" s="53" t="s">
        <v>7</v>
      </c>
      <c r="H16" s="54"/>
      <c r="I16" s="55"/>
      <c r="J16" s="61"/>
      <c r="K16" s="62"/>
      <c r="L16" s="62"/>
      <c r="M16" s="63"/>
      <c r="N16" s="64"/>
      <c r="O16" s="65"/>
      <c r="P16" s="65"/>
      <c r="Q16" s="66"/>
      <c r="R16" s="67"/>
      <c r="S16" s="68"/>
      <c r="T16" s="68"/>
      <c r="U16" s="69"/>
      <c r="V16" s="109"/>
      <c r="W16" s="110"/>
      <c r="X16" s="110"/>
      <c r="Y16" s="111"/>
      <c r="Z16" s="70"/>
      <c r="AA16" s="71"/>
      <c r="AB16" s="71"/>
      <c r="AC16" s="72"/>
      <c r="AD16" s="73"/>
      <c r="AE16" s="74"/>
      <c r="AF16" s="74"/>
      <c r="AG16" s="75"/>
      <c r="AH16" s="76"/>
      <c r="AI16" s="77"/>
      <c r="AJ16" s="77"/>
      <c r="AK16" s="78"/>
      <c r="AL16" s="79"/>
      <c r="AM16" s="80"/>
      <c r="AN16" s="80"/>
      <c r="AO16" s="81"/>
      <c r="AP16" s="41"/>
      <c r="AQ16" s="42"/>
      <c r="AR16" s="42"/>
      <c r="AS16" s="43"/>
      <c r="AT16" s="82"/>
      <c r="AU16" s="83"/>
      <c r="AV16" s="83"/>
      <c r="AW16" s="84"/>
      <c r="AX16" s="85"/>
      <c r="AY16" s="86"/>
      <c r="AZ16" s="86"/>
      <c r="BA16" s="87"/>
      <c r="BB16" s="88"/>
      <c r="BC16" s="89"/>
      <c r="BD16" s="89"/>
      <c r="BE16" s="90"/>
      <c r="BF16" s="91"/>
      <c r="BG16" s="92"/>
      <c r="BH16" s="92"/>
      <c r="BI16" s="93"/>
      <c r="BJ16" s="94"/>
      <c r="BK16" s="95"/>
      <c r="BL16" s="95"/>
      <c r="BM16" s="96"/>
      <c r="BN16" s="34"/>
      <c r="BO16" s="36"/>
      <c r="BP16" s="36"/>
      <c r="BQ16" s="35"/>
      <c r="BR16" s="79"/>
      <c r="BS16" s="80"/>
      <c r="BT16" s="80"/>
      <c r="BU16" s="81"/>
      <c r="BV16" s="97"/>
      <c r="BW16" s="98"/>
      <c r="BX16" s="98"/>
      <c r="BY16" s="99"/>
      <c r="BZ16" s="41"/>
      <c r="CA16" s="42"/>
      <c r="CB16" s="42"/>
      <c r="CC16" s="43"/>
      <c r="CD16" s="100"/>
      <c r="CE16" s="101"/>
      <c r="CF16" s="101"/>
      <c r="CG16" s="102"/>
      <c r="CH16" s="103"/>
      <c r="CI16" s="104"/>
      <c r="CJ16" s="104"/>
      <c r="CK16" s="105"/>
      <c r="CL16" s="109"/>
      <c r="CM16" s="110"/>
      <c r="CN16" s="110"/>
      <c r="CO16" s="111"/>
      <c r="CP16" s="106"/>
      <c r="CQ16" s="107"/>
      <c r="CR16" s="107"/>
      <c r="CS16" s="108"/>
      <c r="CT16" s="85"/>
      <c r="CU16" s="86"/>
      <c r="CV16" s="86"/>
      <c r="CW16" s="87"/>
      <c r="CX16" s="133"/>
      <c r="CY16" s="134"/>
      <c r="CZ16" s="134"/>
      <c r="DA16" s="135"/>
      <c r="DB16" s="137"/>
      <c r="DC16" s="138"/>
      <c r="DD16" s="138"/>
      <c r="DE16" s="139"/>
      <c r="DF16" s="53"/>
      <c r="DG16" s="54"/>
      <c r="DH16" s="54"/>
      <c r="DI16" s="55"/>
    </row>
    <row r="17" spans="2:113" x14ac:dyDescent="0.3">
      <c r="B17" s="12">
        <v>46187</v>
      </c>
      <c r="C17" s="7" t="s">
        <v>67</v>
      </c>
      <c r="D17" s="3" t="s">
        <v>19</v>
      </c>
      <c r="E17" s="1" t="s">
        <v>1</v>
      </c>
      <c r="F17" s="5" t="s">
        <v>20</v>
      </c>
      <c r="G17" s="3"/>
      <c r="H17" s="1" t="s">
        <v>1</v>
      </c>
      <c r="I17" s="5"/>
      <c r="J17" s="3">
        <v>1</v>
      </c>
      <c r="K17" s="1" t="s">
        <v>1</v>
      </c>
      <c r="L17" s="7">
        <v>1</v>
      </c>
      <c r="M17" s="11" t="str">
        <f>IF(ISBLANK($I17)=TRUE,"",IF(SIGN(J17-L17)=SIGN($G17-$I17),1,0)+IF(J17=$G17,IF(L17=$I17,2,0),0))</f>
        <v/>
      </c>
      <c r="N17" s="3">
        <v>2</v>
      </c>
      <c r="O17" s="1" t="s">
        <v>1</v>
      </c>
      <c r="P17" s="7">
        <v>1</v>
      </c>
      <c r="Q17" s="11" t="str">
        <f>IF(ISBLANK($I17)=TRUE,"",IF(SIGN(N17-P17)=SIGN($G17-$I17),1,0)+IF(N17=$G17,IF(P17=$I17,2,0),0))</f>
        <v/>
      </c>
      <c r="R17" s="3">
        <v>2</v>
      </c>
      <c r="S17" s="1" t="s">
        <v>1</v>
      </c>
      <c r="T17" s="7">
        <v>1</v>
      </c>
      <c r="U17" s="11" t="str">
        <f>IF(ISBLANK($I17)=TRUE,"",IF(SIGN(R17-T17)=SIGN($G17-$I17),1,0)+IF(R17=$G17,IF(T17=$I17,2,0),0))</f>
        <v/>
      </c>
      <c r="V17" s="3">
        <v>2</v>
      </c>
      <c r="W17" s="1" t="s">
        <v>1</v>
      </c>
      <c r="X17" s="7">
        <v>2</v>
      </c>
      <c r="Y17" s="11" t="str">
        <f>IF(ISBLANK($I17)=TRUE,"",IF(SIGN(V17-X17)=SIGN($G17-$I17),1,0)+IF(V17=$G17,IF(X17=$I17,2,0),0))</f>
        <v/>
      </c>
      <c r="Z17" s="3">
        <v>3</v>
      </c>
      <c r="AA17" s="1" t="s">
        <v>1</v>
      </c>
      <c r="AB17" s="7">
        <v>1</v>
      </c>
      <c r="AC17" s="11" t="str">
        <f>IF(ISBLANK($I17)=TRUE,"",IF(SIGN(Z17-AB17)=SIGN($G17-$I17),1,0)+IF(Z17=$G17,IF(AB17=$I17,2,0),0))</f>
        <v/>
      </c>
      <c r="AD17" s="3">
        <v>2</v>
      </c>
      <c r="AE17" s="1" t="s">
        <v>1</v>
      </c>
      <c r="AF17" s="7">
        <v>1</v>
      </c>
      <c r="AG17" s="11" t="str">
        <f>IF(ISBLANK($I17)=TRUE,"",IF(SIGN(AD17-AF17)=SIGN($G17-$I17),1,0)+IF(AD17=$G17,IF(AF17=$I17,2,0),0))</f>
        <v/>
      </c>
      <c r="AH17" s="3">
        <v>2</v>
      </c>
      <c r="AI17" s="1" t="s">
        <v>1</v>
      </c>
      <c r="AJ17" s="7">
        <v>1</v>
      </c>
      <c r="AK17" s="11" t="str">
        <f>IF(ISBLANK($I17)=TRUE,"",IF(SIGN(AH17-AJ17)=SIGN($G17-$I17),1,0)+IF(AH17=$G17,IF(AJ17=$I17,2,0),0))</f>
        <v/>
      </c>
      <c r="AL17" s="3">
        <v>1</v>
      </c>
      <c r="AM17" s="1" t="s">
        <v>1</v>
      </c>
      <c r="AN17" s="7">
        <v>0</v>
      </c>
      <c r="AO17" s="11" t="str">
        <f>IF(ISBLANK($I17)=TRUE,"",IF(SIGN(AL17-AN17)=SIGN($G17-$I17),1,0)+IF(AL17=$G17,IF(AN17=$I17,2,0),0))</f>
        <v/>
      </c>
      <c r="AP17" s="3">
        <v>3</v>
      </c>
      <c r="AQ17" s="1" t="s">
        <v>1</v>
      </c>
      <c r="AR17" s="7">
        <v>1</v>
      </c>
      <c r="AS17" s="11" t="str">
        <f>IF(ISBLANK($I17)=TRUE,"",IF(SIGN(AP17-AR17)=SIGN($G17-$I17),1,0)+IF(AP17=$G17,IF(AR17=$I17,2,0),0))</f>
        <v/>
      </c>
      <c r="AT17" s="3">
        <v>2</v>
      </c>
      <c r="AU17" s="1" t="s">
        <v>1</v>
      </c>
      <c r="AV17" s="7">
        <v>0</v>
      </c>
      <c r="AW17" s="11" t="str">
        <f>IF(ISBLANK($I17)=TRUE,"",IF(SIGN(AT17-AV17)=SIGN($G17-$I17),1,0)+IF(AT17=$G17,IF(AV17=$I17,2,0),0))</f>
        <v/>
      </c>
      <c r="AX17" s="3">
        <v>0</v>
      </c>
      <c r="AY17" s="1" t="s">
        <v>1</v>
      </c>
      <c r="AZ17" s="7">
        <v>1</v>
      </c>
      <c r="BA17" s="11" t="str">
        <f>IF(ISBLANK($I17)=TRUE,"",IF(SIGN(AX17-AZ17)=SIGN($G17-$I17),1,0)+IF(AX17=$G17,IF(AZ17=$I17,2,0),0))</f>
        <v/>
      </c>
      <c r="BB17" s="3">
        <v>2</v>
      </c>
      <c r="BC17" s="1" t="s">
        <v>1</v>
      </c>
      <c r="BD17" s="7">
        <v>2</v>
      </c>
      <c r="BE17" s="11" t="str">
        <f>IF(ISBLANK($I17)=TRUE,"",IF(SIGN(BB17-BD17)=SIGN($G17-$I17),1,0)+IF(BB17=$G17,IF(BD17=$I17,2,0),0))</f>
        <v/>
      </c>
      <c r="BF17" s="3">
        <v>2</v>
      </c>
      <c r="BG17" s="1" t="s">
        <v>1</v>
      </c>
      <c r="BH17" s="7">
        <v>2</v>
      </c>
      <c r="BI17" s="11" t="str">
        <f>IF(ISBLANK($I17)=TRUE,"",IF(SIGN(BF17-BH17)=SIGN($G17-$I17),1,0)+IF(BF17=$G17,IF(BH17=$I17,2,0),0))</f>
        <v/>
      </c>
      <c r="BJ17" s="3">
        <v>2</v>
      </c>
      <c r="BK17" s="1" t="s">
        <v>1</v>
      </c>
      <c r="BL17" s="7">
        <v>1</v>
      </c>
      <c r="BM17" s="11" t="str">
        <f>IF(ISBLANK($I17)=TRUE,"",IF(SIGN(BJ17-BL17)=SIGN($G17-$I17),1,0)+IF(BJ17=$G17,IF(BL17=$I17,2,0),0))</f>
        <v/>
      </c>
      <c r="BN17" s="3">
        <v>2</v>
      </c>
      <c r="BO17" s="1" t="s">
        <v>1</v>
      </c>
      <c r="BP17" s="7">
        <v>0</v>
      </c>
      <c r="BQ17" s="11" t="str">
        <f>IF(ISBLANK($I17)=TRUE,"",IF(SIGN(BN17-BP17)=SIGN($G17-$I17),1,0)+IF(BN17=$G17,IF(BP17=$I17,2,0),0))</f>
        <v/>
      </c>
      <c r="BR17" s="3">
        <v>2</v>
      </c>
      <c r="BS17" s="1" t="s">
        <v>1</v>
      </c>
      <c r="BT17" s="7">
        <v>1</v>
      </c>
      <c r="BU17" s="11" t="str">
        <f>IF(ISBLANK($I17)=TRUE,"",IF(SIGN(BR17-BT17)=SIGN($G17-$I17),1,0)+IF(BR17=$G17,IF(BT17=$I17,2,0),0))</f>
        <v/>
      </c>
      <c r="BV17" s="3">
        <v>1</v>
      </c>
      <c r="BW17" s="1" t="s">
        <v>1</v>
      </c>
      <c r="BX17" s="7">
        <v>1</v>
      </c>
      <c r="BY17" s="11" t="str">
        <f>IF(ISBLANK($I17)=TRUE,"",IF(SIGN(BV17-BX17)=SIGN($G17-$I17),1,0)+IF(BV17=$G17,IF(BX17=$I17,2,0),0))</f>
        <v/>
      </c>
      <c r="BZ17" s="3">
        <v>2</v>
      </c>
      <c r="CA17" s="1" t="s">
        <v>1</v>
      </c>
      <c r="CB17" s="7">
        <v>1</v>
      </c>
      <c r="CC17" s="11" t="str">
        <f>IF(ISBLANK($I17)=TRUE,"",IF(SIGN(BZ17-CB17)=SIGN($G17-$I17),1,0)+IF(BZ17=$G17,IF(CB17=$I17,2,0),0))</f>
        <v/>
      </c>
      <c r="CD17" s="3">
        <v>2</v>
      </c>
      <c r="CE17" s="1" t="s">
        <v>1</v>
      </c>
      <c r="CF17" s="7">
        <v>1</v>
      </c>
      <c r="CG17" s="11" t="str">
        <f>IF(ISBLANK($I17)=TRUE,"",IF(SIGN(CD17-CF17)=SIGN($G17-$I17),1,0)+IF(CD17=$G17,IF(CF17=$I17,2,0),0))</f>
        <v/>
      </c>
      <c r="CH17" s="3">
        <v>2</v>
      </c>
      <c r="CI17" s="1" t="s">
        <v>1</v>
      </c>
      <c r="CJ17" s="7">
        <v>1</v>
      </c>
      <c r="CK17" s="11" t="str">
        <f>IF(ISBLANK($I17)=TRUE,"",IF(SIGN(CH17-CJ17)=SIGN($G17-$I17),1,0)+IF(CH17=$G17,IF(CJ17=$I17,2,0),0))</f>
        <v/>
      </c>
      <c r="CL17" s="3">
        <v>3</v>
      </c>
      <c r="CM17" s="1" t="s">
        <v>1</v>
      </c>
      <c r="CN17" s="7">
        <v>1</v>
      </c>
      <c r="CO17" s="11" t="str">
        <f>IF(ISBLANK($I17)=TRUE,"",IF(SIGN(CL17-CN17)=SIGN($G17-$I17),1,0)+IF(CL17=$G17,IF(CN17=$I17,2,0),0))</f>
        <v/>
      </c>
      <c r="CP17" s="3">
        <v>2</v>
      </c>
      <c r="CQ17" s="1" t="s">
        <v>1</v>
      </c>
      <c r="CR17" s="7">
        <v>1</v>
      </c>
      <c r="CS17" s="11" t="str">
        <f>IF(ISBLANK($I17)=TRUE,"",IF(SIGN(CP17-CR17)=SIGN($G17-$I17),1,0)+IF(CP17=$G17,IF(CR17=$I17,2,0),0))</f>
        <v/>
      </c>
      <c r="CT17" s="3">
        <v>1</v>
      </c>
      <c r="CU17" s="1" t="s">
        <v>1</v>
      </c>
      <c r="CV17" s="7">
        <v>1</v>
      </c>
      <c r="CW17" s="11" t="str">
        <f>IF(ISBLANK($I17)=TRUE,"",IF(SIGN(CT17-CV17)=SIGN($G17-$I17),1,0)+IF(CT17=$G17,IF(CV17=$I17,2,0),0))</f>
        <v/>
      </c>
      <c r="CX17" s="3">
        <v>1</v>
      </c>
      <c r="CY17" s="1" t="s">
        <v>1</v>
      </c>
      <c r="CZ17" s="7">
        <v>1</v>
      </c>
      <c r="DA17" s="11" t="str">
        <f>IF(ISBLANK($I17)=TRUE,"",IF(SIGN(CX17-CZ17)=SIGN($G17-$I17),1,0)+IF(CX17=$G17,IF(CZ17=$I17,2,0),0))</f>
        <v/>
      </c>
      <c r="DB17" s="3">
        <v>3</v>
      </c>
      <c r="DC17" s="1" t="s">
        <v>1</v>
      </c>
      <c r="DD17" s="7">
        <v>2</v>
      </c>
      <c r="DE17" s="11" t="str">
        <f>IF(ISBLANK($I17)=TRUE,"",IF(SIGN(DB17-DD17)=SIGN($G17-$I17),1,0)+IF(DB17=$G17,IF(DD17=$I17,2,0),0))</f>
        <v/>
      </c>
      <c r="DF17" s="3">
        <v>1</v>
      </c>
      <c r="DG17" s="1" t="s">
        <v>1</v>
      </c>
      <c r="DH17" s="7">
        <v>1</v>
      </c>
      <c r="DI17" s="11" t="str">
        <f>IF(ISBLANK($I17)=TRUE,"",IF(SIGN(DF17-DH17)=SIGN($G17-$I17),1,0)+IF(DF17=$G17,IF(DH17=$I17,2,0),0))</f>
        <v/>
      </c>
    </row>
    <row r="18" spans="2:113" x14ac:dyDescent="0.3">
      <c r="B18" s="12">
        <v>46187</v>
      </c>
      <c r="C18" s="7" t="s">
        <v>66</v>
      </c>
      <c r="D18" s="3" t="s">
        <v>21</v>
      </c>
      <c r="E18" s="1" t="s">
        <v>1</v>
      </c>
      <c r="F18" s="5" t="s">
        <v>22</v>
      </c>
      <c r="G18" s="3"/>
      <c r="H18" s="1" t="s">
        <v>1</v>
      </c>
      <c r="I18" s="5"/>
      <c r="J18" s="3">
        <v>0</v>
      </c>
      <c r="K18" s="1" t="s">
        <v>1</v>
      </c>
      <c r="L18" s="7">
        <v>2</v>
      </c>
      <c r="M18" s="9" t="str">
        <f t="shared" ref="M18:M22" si="52">IF(ISBLANK($G18)=TRUE,"",IF(SIGN(J18-L18)=SIGN($G18-$I18),1,0)+IF(J18=$G18,IF(L18=$I18,2,0),0))</f>
        <v/>
      </c>
      <c r="N18" s="3">
        <v>0</v>
      </c>
      <c r="O18" s="1" t="s">
        <v>1</v>
      </c>
      <c r="P18" s="7">
        <v>2</v>
      </c>
      <c r="Q18" s="9" t="str">
        <f t="shared" ref="Q18:Q22" si="53">IF(ISBLANK($G18)=TRUE,"",IF(SIGN(N18-P18)=SIGN($G18-$I18),1,0)+IF(N18=$G18,IF(P18=$I18,2,0),0))</f>
        <v/>
      </c>
      <c r="R18" s="3">
        <v>0</v>
      </c>
      <c r="S18" s="1" t="s">
        <v>1</v>
      </c>
      <c r="T18" s="7">
        <v>1</v>
      </c>
      <c r="U18" s="9" t="str">
        <f t="shared" ref="U18:U22" si="54">IF(ISBLANK($G18)=TRUE,"",IF(SIGN(R18-T18)=SIGN($G18-$I18),1,0)+IF(R18=$G18,IF(T18=$I18,2,0),0))</f>
        <v/>
      </c>
      <c r="V18" s="3">
        <v>0</v>
      </c>
      <c r="W18" s="1" t="s">
        <v>1</v>
      </c>
      <c r="X18" s="7">
        <v>3</v>
      </c>
      <c r="Y18" s="9" t="str">
        <f t="shared" ref="Y18:Y22" si="55">IF(ISBLANK($G18)=TRUE,"",IF(SIGN(V18-X18)=SIGN($G18-$I18),1,0)+IF(V18=$G18,IF(X18=$I18,2,0),0))</f>
        <v/>
      </c>
      <c r="Z18" s="3">
        <v>0</v>
      </c>
      <c r="AA18" s="1" t="s">
        <v>1</v>
      </c>
      <c r="AB18" s="7">
        <v>2</v>
      </c>
      <c r="AC18" s="9" t="str">
        <f t="shared" ref="AC18:AC22" si="56">IF(ISBLANK($G18)=TRUE,"",IF(SIGN(Z18-AB18)=SIGN($G18-$I18),1,0)+IF(Z18=$G18,IF(AB18=$I18,2,0),0))</f>
        <v/>
      </c>
      <c r="AD18" s="3">
        <v>1</v>
      </c>
      <c r="AE18" s="1" t="s">
        <v>1</v>
      </c>
      <c r="AF18" s="7">
        <v>2</v>
      </c>
      <c r="AG18" s="9" t="str">
        <f t="shared" ref="AG18:AG22" si="57">IF(ISBLANK($G18)=TRUE,"",IF(SIGN(AD18-AF18)=SIGN($G18-$I18),1,0)+IF(AD18=$G18,IF(AF18=$I18,2,0),0))</f>
        <v/>
      </c>
      <c r="AH18" s="3">
        <v>0</v>
      </c>
      <c r="AI18" s="1" t="s">
        <v>1</v>
      </c>
      <c r="AJ18" s="7">
        <v>2</v>
      </c>
      <c r="AK18" s="9" t="str">
        <f t="shared" ref="AK18:AK22" si="58">IF(ISBLANK($G18)=TRUE,"",IF(SIGN(AH18-AJ18)=SIGN($G18-$I18),1,0)+IF(AH18=$G18,IF(AJ18=$I18,2,0),0))</f>
        <v/>
      </c>
      <c r="AL18" s="3">
        <v>0</v>
      </c>
      <c r="AM18" s="1" t="s">
        <v>1</v>
      </c>
      <c r="AN18" s="7">
        <v>1</v>
      </c>
      <c r="AO18" s="9" t="str">
        <f t="shared" ref="AO18:AO22" si="59">IF(ISBLANK($G18)=TRUE,"",IF(SIGN(AL18-AN18)=SIGN($G18-$I18),1,0)+IF(AL18=$G18,IF(AN18=$I18,2,0),0))</f>
        <v/>
      </c>
      <c r="AP18" s="3">
        <v>1</v>
      </c>
      <c r="AQ18" s="1" t="s">
        <v>1</v>
      </c>
      <c r="AR18" s="7">
        <v>2</v>
      </c>
      <c r="AS18" s="9" t="str">
        <f t="shared" ref="AS18:AS22" si="60">IF(ISBLANK($G18)=TRUE,"",IF(SIGN(AP18-AR18)=SIGN($G18-$I18),1,0)+IF(AP18=$G18,IF(AR18=$I18,2,0),0))</f>
        <v/>
      </c>
      <c r="AT18" s="3">
        <v>1</v>
      </c>
      <c r="AU18" s="1" t="s">
        <v>1</v>
      </c>
      <c r="AV18" s="7">
        <v>1</v>
      </c>
      <c r="AW18" s="9" t="str">
        <f t="shared" ref="AW18:AW22" si="61">IF(ISBLANK($G18)=TRUE,"",IF(SIGN(AT18-AV18)=SIGN($G18-$I18),1,0)+IF(AT18=$G18,IF(AV18=$I18,2,0),0))</f>
        <v/>
      </c>
      <c r="AX18" s="3">
        <v>1</v>
      </c>
      <c r="AY18" s="1" t="s">
        <v>1</v>
      </c>
      <c r="AZ18" s="7">
        <v>1</v>
      </c>
      <c r="BA18" s="9" t="str">
        <f t="shared" ref="BA18:BA22" si="62">IF(ISBLANK($G18)=TRUE,"",IF(SIGN(AX18-AZ18)=SIGN($G18-$I18),1,0)+IF(AX18=$G18,IF(AZ18=$I18,2,0),0))</f>
        <v/>
      </c>
      <c r="BB18" s="3">
        <v>0</v>
      </c>
      <c r="BC18" s="1" t="s">
        <v>1</v>
      </c>
      <c r="BD18" s="7">
        <v>2</v>
      </c>
      <c r="BE18" s="9" t="str">
        <f t="shared" ref="BE18:BE22" si="63">IF(ISBLANK($G18)=TRUE,"",IF(SIGN(BB18-BD18)=SIGN($G18-$I18),1,0)+IF(BB18=$G18,IF(BD18=$I18,2,0),0))</f>
        <v/>
      </c>
      <c r="BF18" s="3">
        <v>0</v>
      </c>
      <c r="BG18" s="1" t="s">
        <v>1</v>
      </c>
      <c r="BH18" s="7">
        <v>1</v>
      </c>
      <c r="BI18" s="9" t="str">
        <f t="shared" ref="BI18:BI22" si="64">IF(ISBLANK($G18)=TRUE,"",IF(SIGN(BF18-BH18)=SIGN($G18-$I18),1,0)+IF(BF18=$G18,IF(BH18=$I18,2,0),0))</f>
        <v/>
      </c>
      <c r="BJ18" s="3">
        <v>1</v>
      </c>
      <c r="BK18" s="1" t="s">
        <v>1</v>
      </c>
      <c r="BL18" s="7">
        <v>3</v>
      </c>
      <c r="BM18" s="9" t="str">
        <f t="shared" ref="BM18:BM22" si="65">IF(ISBLANK($G18)=TRUE,"",IF(SIGN(BJ18-BL18)=SIGN($G18-$I18),1,0)+IF(BJ18=$G18,IF(BL18=$I18,2,0),0))</f>
        <v/>
      </c>
      <c r="BN18" s="3">
        <v>0</v>
      </c>
      <c r="BO18" s="1" t="s">
        <v>1</v>
      </c>
      <c r="BP18" s="7">
        <v>2</v>
      </c>
      <c r="BQ18" s="9" t="str">
        <f t="shared" ref="BQ18:BQ22" si="66">IF(ISBLANK($G18)=TRUE,"",IF(SIGN(BN18-BP18)=SIGN($G18-$I18),1,0)+IF(BN18=$G18,IF(BP18=$I18,2,0),0))</f>
        <v/>
      </c>
      <c r="BR18" s="3">
        <v>1</v>
      </c>
      <c r="BS18" s="1" t="s">
        <v>1</v>
      </c>
      <c r="BT18" s="7">
        <v>4</v>
      </c>
      <c r="BU18" s="9" t="str">
        <f t="shared" ref="BU18:BU22" si="67">IF(ISBLANK($G18)=TRUE,"",IF(SIGN(BR18-BT18)=SIGN($G18-$I18),1,0)+IF(BR18=$G18,IF(BT18=$I18,2,0),0))</f>
        <v/>
      </c>
      <c r="BV18" s="3">
        <v>0</v>
      </c>
      <c r="BW18" s="1" t="s">
        <v>1</v>
      </c>
      <c r="BX18" s="7">
        <v>3</v>
      </c>
      <c r="BY18" s="9" t="str">
        <f t="shared" ref="BY18:BY22" si="68">IF(ISBLANK($G18)=TRUE,"",IF(SIGN(BV18-BX18)=SIGN($G18-$I18),1,0)+IF(BV18=$G18,IF(BX18=$I18,2,0),0))</f>
        <v/>
      </c>
      <c r="BZ18" s="3">
        <v>0</v>
      </c>
      <c r="CA18" s="1" t="s">
        <v>1</v>
      </c>
      <c r="CB18" s="7">
        <v>4</v>
      </c>
      <c r="CC18" s="9" t="str">
        <f t="shared" ref="CC18:CC22" si="69">IF(ISBLANK($G18)=TRUE,"",IF(SIGN(BZ18-CB18)=SIGN($G18-$I18),1,0)+IF(BZ18=$G18,IF(CB18=$I18,2,0),0))</f>
        <v/>
      </c>
      <c r="CD18" s="3">
        <v>0</v>
      </c>
      <c r="CE18" s="1" t="s">
        <v>1</v>
      </c>
      <c r="CF18" s="7">
        <v>2</v>
      </c>
      <c r="CG18" s="9" t="str">
        <f t="shared" ref="CG18:CG22" si="70">IF(ISBLANK($G18)=TRUE,"",IF(SIGN(CD18-CF18)=SIGN($G18-$I18),1,0)+IF(CD18=$G18,IF(CF18=$I18,2,0),0))</f>
        <v/>
      </c>
      <c r="CH18" s="3">
        <v>0</v>
      </c>
      <c r="CI18" s="1" t="s">
        <v>1</v>
      </c>
      <c r="CJ18" s="7">
        <v>3</v>
      </c>
      <c r="CK18" s="9" t="str">
        <f t="shared" ref="CK18:CK22" si="71">IF(ISBLANK($G18)=TRUE,"",IF(SIGN(CH18-CJ18)=SIGN($G18-$I18),1,0)+IF(CH18=$G18,IF(CJ18=$I18,2,0),0))</f>
        <v/>
      </c>
      <c r="CL18" s="3">
        <v>1</v>
      </c>
      <c r="CM18" s="1" t="s">
        <v>1</v>
      </c>
      <c r="CN18" s="7">
        <v>1</v>
      </c>
      <c r="CO18" s="9" t="str">
        <f t="shared" ref="CO18:CO22" si="72">IF(ISBLANK($G18)=TRUE,"",IF(SIGN(CL18-CN18)=SIGN($G18-$I18),1,0)+IF(CL18=$G18,IF(CN18=$I18,2,0),0))</f>
        <v/>
      </c>
      <c r="CP18" s="3">
        <v>0</v>
      </c>
      <c r="CQ18" s="1" t="s">
        <v>1</v>
      </c>
      <c r="CR18" s="7">
        <v>3</v>
      </c>
      <c r="CS18" s="9" t="str">
        <f t="shared" ref="CS18:CS22" si="73">IF(ISBLANK($G18)=TRUE,"",IF(SIGN(CP18-CR18)=SIGN($G18-$I18),1,0)+IF(CP18=$G18,IF(CR18=$I18,2,0),0))</f>
        <v/>
      </c>
      <c r="CT18" s="3">
        <v>1</v>
      </c>
      <c r="CU18" s="1" t="s">
        <v>1</v>
      </c>
      <c r="CV18" s="7">
        <v>2</v>
      </c>
      <c r="CW18" s="9" t="str">
        <f t="shared" ref="CW18:CW22" si="74">IF(ISBLANK($G18)=TRUE,"",IF(SIGN(CT18-CV18)=SIGN($G18-$I18),1,0)+IF(CT18=$G18,IF(CV18=$I18,2,0),0))</f>
        <v/>
      </c>
      <c r="CX18" s="3">
        <v>1</v>
      </c>
      <c r="CY18" s="1" t="s">
        <v>1</v>
      </c>
      <c r="CZ18" s="7">
        <v>2</v>
      </c>
      <c r="DA18" s="9" t="str">
        <f t="shared" ref="DA18:DA22" si="75">IF(ISBLANK($G18)=TRUE,"",IF(SIGN(CX18-CZ18)=SIGN($G18-$I18),1,0)+IF(CX18=$G18,IF(CZ18=$I18,2,0),0))</f>
        <v/>
      </c>
      <c r="DB18" s="3">
        <v>1</v>
      </c>
      <c r="DC18" s="1" t="s">
        <v>1</v>
      </c>
      <c r="DD18" s="7">
        <v>3</v>
      </c>
      <c r="DE18" s="9" t="str">
        <f t="shared" ref="DE18:DE22" si="76">IF(ISBLANK($G18)=TRUE,"",IF(SIGN(DB18-DD18)=SIGN($G18-$I18),1,0)+IF(DB18=$G18,IF(DD18=$I18,2,0),0))</f>
        <v/>
      </c>
      <c r="DF18" s="3">
        <v>0</v>
      </c>
      <c r="DG18" s="1" t="s">
        <v>1</v>
      </c>
      <c r="DH18" s="7">
        <v>2</v>
      </c>
      <c r="DI18" s="9" t="str">
        <f t="shared" ref="DI18:DI22" si="77">IF(ISBLANK($G18)=TRUE,"",IF(SIGN(DF18-DH18)=SIGN($G18-$I18),1,0)+IF(DF18=$G18,IF(DH18=$I18,2,0),0))</f>
        <v/>
      </c>
    </row>
    <row r="19" spans="2:113" x14ac:dyDescent="0.3">
      <c r="B19" s="12">
        <v>46193</v>
      </c>
      <c r="C19" s="7" t="s">
        <v>67</v>
      </c>
      <c r="D19" s="3" t="s">
        <v>22</v>
      </c>
      <c r="E19" s="1" t="s">
        <v>1</v>
      </c>
      <c r="F19" s="5" t="s">
        <v>20</v>
      </c>
      <c r="G19" s="3"/>
      <c r="H19" s="1" t="s">
        <v>1</v>
      </c>
      <c r="I19" s="5"/>
      <c r="J19" s="3">
        <v>1</v>
      </c>
      <c r="K19" s="1" t="s">
        <v>1</v>
      </c>
      <c r="L19" s="7">
        <v>1</v>
      </c>
      <c r="M19" s="9" t="str">
        <f t="shared" si="52"/>
        <v/>
      </c>
      <c r="N19" s="3">
        <v>1</v>
      </c>
      <c r="O19" s="1" t="s">
        <v>1</v>
      </c>
      <c r="P19" s="7">
        <v>1</v>
      </c>
      <c r="Q19" s="9" t="str">
        <f t="shared" si="53"/>
        <v/>
      </c>
      <c r="R19" s="3">
        <v>0</v>
      </c>
      <c r="S19" s="1" t="s">
        <v>1</v>
      </c>
      <c r="T19" s="7">
        <v>2</v>
      </c>
      <c r="U19" s="9" t="str">
        <f t="shared" si="54"/>
        <v/>
      </c>
      <c r="V19" s="3">
        <v>0</v>
      </c>
      <c r="W19" s="1" t="s">
        <v>1</v>
      </c>
      <c r="X19" s="7">
        <v>2</v>
      </c>
      <c r="Y19" s="9" t="str">
        <f t="shared" si="55"/>
        <v/>
      </c>
      <c r="Z19" s="3">
        <v>1</v>
      </c>
      <c r="AA19" s="1" t="s">
        <v>1</v>
      </c>
      <c r="AB19" s="7">
        <v>1</v>
      </c>
      <c r="AC19" s="9" t="str">
        <f t="shared" si="56"/>
        <v/>
      </c>
      <c r="AD19" s="3">
        <v>1</v>
      </c>
      <c r="AE19" s="1" t="s">
        <v>1</v>
      </c>
      <c r="AF19" s="7">
        <v>1</v>
      </c>
      <c r="AG19" s="9" t="str">
        <f t="shared" si="57"/>
        <v/>
      </c>
      <c r="AH19" s="3">
        <v>1</v>
      </c>
      <c r="AI19" s="1" t="s">
        <v>1</v>
      </c>
      <c r="AJ19" s="7">
        <v>1</v>
      </c>
      <c r="AK19" s="9" t="str">
        <f t="shared" si="58"/>
        <v/>
      </c>
      <c r="AL19" s="3">
        <v>0</v>
      </c>
      <c r="AM19" s="1" t="s">
        <v>1</v>
      </c>
      <c r="AN19" s="7">
        <v>0</v>
      </c>
      <c r="AO19" s="9" t="str">
        <f t="shared" si="59"/>
        <v/>
      </c>
      <c r="AP19" s="3">
        <v>0</v>
      </c>
      <c r="AQ19" s="1" t="s">
        <v>1</v>
      </c>
      <c r="AR19" s="7">
        <v>2</v>
      </c>
      <c r="AS19" s="9" t="str">
        <f t="shared" si="60"/>
        <v/>
      </c>
      <c r="AT19" s="3">
        <v>1</v>
      </c>
      <c r="AU19" s="1" t="s">
        <v>1</v>
      </c>
      <c r="AV19" s="7">
        <v>2</v>
      </c>
      <c r="AW19" s="9" t="str">
        <f t="shared" si="61"/>
        <v/>
      </c>
      <c r="AX19" s="3">
        <v>0</v>
      </c>
      <c r="AY19" s="1" t="s">
        <v>1</v>
      </c>
      <c r="AZ19" s="7">
        <v>2</v>
      </c>
      <c r="BA19" s="9" t="str">
        <f t="shared" si="62"/>
        <v/>
      </c>
      <c r="BB19" s="3">
        <v>0</v>
      </c>
      <c r="BC19" s="1" t="s">
        <v>1</v>
      </c>
      <c r="BD19" s="7">
        <v>2</v>
      </c>
      <c r="BE19" s="9" t="str">
        <f t="shared" si="63"/>
        <v/>
      </c>
      <c r="BF19" s="3">
        <v>0</v>
      </c>
      <c r="BG19" s="1" t="s">
        <v>1</v>
      </c>
      <c r="BH19" s="7">
        <v>3</v>
      </c>
      <c r="BI19" s="9" t="str">
        <f t="shared" si="64"/>
        <v/>
      </c>
      <c r="BJ19" s="3">
        <v>1</v>
      </c>
      <c r="BK19" s="1" t="s">
        <v>1</v>
      </c>
      <c r="BL19" s="7">
        <v>1</v>
      </c>
      <c r="BM19" s="9" t="str">
        <f t="shared" si="65"/>
        <v/>
      </c>
      <c r="BN19" s="3">
        <v>0</v>
      </c>
      <c r="BO19" s="1" t="s">
        <v>1</v>
      </c>
      <c r="BP19" s="7">
        <v>1</v>
      </c>
      <c r="BQ19" s="9" t="str">
        <f t="shared" si="66"/>
        <v/>
      </c>
      <c r="BR19" s="3">
        <v>1</v>
      </c>
      <c r="BS19" s="1" t="s">
        <v>1</v>
      </c>
      <c r="BT19" s="7">
        <v>2</v>
      </c>
      <c r="BU19" s="9" t="str">
        <f t="shared" si="67"/>
        <v/>
      </c>
      <c r="BV19" s="3">
        <v>1</v>
      </c>
      <c r="BW19" s="1" t="s">
        <v>1</v>
      </c>
      <c r="BX19" s="7">
        <v>2</v>
      </c>
      <c r="BY19" s="9" t="str">
        <f t="shared" si="68"/>
        <v/>
      </c>
      <c r="BZ19" s="3">
        <v>1</v>
      </c>
      <c r="CA19" s="1" t="s">
        <v>1</v>
      </c>
      <c r="CB19" s="7">
        <v>3</v>
      </c>
      <c r="CC19" s="9" t="str">
        <f t="shared" si="69"/>
        <v/>
      </c>
      <c r="CD19" s="3">
        <v>0</v>
      </c>
      <c r="CE19" s="1" t="s">
        <v>1</v>
      </c>
      <c r="CF19" s="7">
        <v>1</v>
      </c>
      <c r="CG19" s="9" t="str">
        <f t="shared" si="70"/>
        <v/>
      </c>
      <c r="CH19" s="3">
        <v>1</v>
      </c>
      <c r="CI19" s="1" t="s">
        <v>1</v>
      </c>
      <c r="CJ19" s="7">
        <v>2</v>
      </c>
      <c r="CK19" s="9" t="str">
        <f t="shared" si="71"/>
        <v/>
      </c>
      <c r="CL19" s="3">
        <v>0</v>
      </c>
      <c r="CM19" s="1" t="s">
        <v>1</v>
      </c>
      <c r="CN19" s="7">
        <v>2</v>
      </c>
      <c r="CO19" s="9" t="str">
        <f t="shared" si="72"/>
        <v/>
      </c>
      <c r="CP19" s="3">
        <v>1</v>
      </c>
      <c r="CQ19" s="1" t="s">
        <v>1</v>
      </c>
      <c r="CR19" s="7">
        <v>2</v>
      </c>
      <c r="CS19" s="9" t="str">
        <f t="shared" si="73"/>
        <v/>
      </c>
      <c r="CT19" s="3">
        <v>1</v>
      </c>
      <c r="CU19" s="1" t="s">
        <v>1</v>
      </c>
      <c r="CV19" s="7">
        <v>2</v>
      </c>
      <c r="CW19" s="9" t="str">
        <f t="shared" si="74"/>
        <v/>
      </c>
      <c r="CX19" s="3">
        <v>0</v>
      </c>
      <c r="CY19" s="1" t="s">
        <v>1</v>
      </c>
      <c r="CZ19" s="7">
        <v>2</v>
      </c>
      <c r="DA19" s="9" t="str">
        <f t="shared" si="75"/>
        <v/>
      </c>
      <c r="DB19" s="3">
        <v>3</v>
      </c>
      <c r="DC19" s="1" t="s">
        <v>1</v>
      </c>
      <c r="DD19" s="7">
        <v>0</v>
      </c>
      <c r="DE19" s="9" t="str">
        <f t="shared" si="76"/>
        <v/>
      </c>
      <c r="DF19" s="3">
        <v>1</v>
      </c>
      <c r="DG19" s="1" t="s">
        <v>1</v>
      </c>
      <c r="DH19" s="7">
        <v>2</v>
      </c>
      <c r="DI19" s="9" t="str">
        <f t="shared" si="77"/>
        <v/>
      </c>
    </row>
    <row r="20" spans="2:113" x14ac:dyDescent="0.3">
      <c r="B20" s="12">
        <v>46193</v>
      </c>
      <c r="C20" s="7" t="s">
        <v>68</v>
      </c>
      <c r="D20" s="3" t="s">
        <v>19</v>
      </c>
      <c r="E20" s="1" t="s">
        <v>1</v>
      </c>
      <c r="F20" s="5" t="s">
        <v>21</v>
      </c>
      <c r="G20" s="3"/>
      <c r="H20" s="1" t="s">
        <v>1</v>
      </c>
      <c r="I20" s="5"/>
      <c r="J20" s="3">
        <v>3</v>
      </c>
      <c r="K20" s="1" t="s">
        <v>1</v>
      </c>
      <c r="L20" s="7">
        <v>0</v>
      </c>
      <c r="M20" s="9" t="str">
        <f t="shared" si="52"/>
        <v/>
      </c>
      <c r="N20" s="3">
        <v>3</v>
      </c>
      <c r="O20" s="1" t="s">
        <v>1</v>
      </c>
      <c r="P20" s="7">
        <v>0</v>
      </c>
      <c r="Q20" s="9" t="str">
        <f t="shared" si="53"/>
        <v/>
      </c>
      <c r="R20" s="3">
        <v>4</v>
      </c>
      <c r="S20" s="1" t="s">
        <v>1</v>
      </c>
      <c r="T20" s="7">
        <v>0</v>
      </c>
      <c r="U20" s="9" t="str">
        <f t="shared" si="54"/>
        <v/>
      </c>
      <c r="V20" s="3">
        <v>3</v>
      </c>
      <c r="W20" s="1" t="s">
        <v>1</v>
      </c>
      <c r="X20" s="7">
        <v>0</v>
      </c>
      <c r="Y20" s="9" t="str">
        <f t="shared" si="55"/>
        <v/>
      </c>
      <c r="Z20" s="3">
        <v>4</v>
      </c>
      <c r="AA20" s="1" t="s">
        <v>1</v>
      </c>
      <c r="AB20" s="7">
        <v>0</v>
      </c>
      <c r="AC20" s="9" t="str">
        <f t="shared" si="56"/>
        <v/>
      </c>
      <c r="AD20" s="3">
        <v>3</v>
      </c>
      <c r="AE20" s="1" t="s">
        <v>1</v>
      </c>
      <c r="AF20" s="7">
        <v>0</v>
      </c>
      <c r="AG20" s="9" t="str">
        <f t="shared" si="57"/>
        <v/>
      </c>
      <c r="AH20" s="3">
        <v>3</v>
      </c>
      <c r="AI20" s="1" t="s">
        <v>1</v>
      </c>
      <c r="AJ20" s="7">
        <v>0</v>
      </c>
      <c r="AK20" s="9" t="str">
        <f t="shared" si="58"/>
        <v/>
      </c>
      <c r="AL20" s="3">
        <v>2</v>
      </c>
      <c r="AM20" s="1" t="s">
        <v>1</v>
      </c>
      <c r="AN20" s="7">
        <v>0</v>
      </c>
      <c r="AO20" s="9" t="str">
        <f t="shared" si="59"/>
        <v/>
      </c>
      <c r="AP20" s="3">
        <v>4</v>
      </c>
      <c r="AQ20" s="1" t="s">
        <v>1</v>
      </c>
      <c r="AR20" s="7">
        <v>2</v>
      </c>
      <c r="AS20" s="9" t="str">
        <f t="shared" si="60"/>
        <v/>
      </c>
      <c r="AT20" s="3">
        <v>2</v>
      </c>
      <c r="AU20" s="1" t="s">
        <v>1</v>
      </c>
      <c r="AV20" s="7">
        <v>0</v>
      </c>
      <c r="AW20" s="9" t="str">
        <f t="shared" si="61"/>
        <v/>
      </c>
      <c r="AX20" s="3">
        <v>2</v>
      </c>
      <c r="AY20" s="1" t="s">
        <v>1</v>
      </c>
      <c r="AZ20" s="7">
        <v>0</v>
      </c>
      <c r="BA20" s="9" t="str">
        <f t="shared" si="62"/>
        <v/>
      </c>
      <c r="BB20" s="3">
        <v>5</v>
      </c>
      <c r="BC20" s="1" t="s">
        <v>1</v>
      </c>
      <c r="BD20" s="7">
        <v>0</v>
      </c>
      <c r="BE20" s="9" t="str">
        <f t="shared" si="63"/>
        <v/>
      </c>
      <c r="BF20" s="3">
        <v>6</v>
      </c>
      <c r="BG20" s="1" t="s">
        <v>1</v>
      </c>
      <c r="BH20" s="7">
        <v>0</v>
      </c>
      <c r="BI20" s="9" t="str">
        <f t="shared" si="64"/>
        <v/>
      </c>
      <c r="BJ20" s="3">
        <v>3</v>
      </c>
      <c r="BK20" s="1" t="s">
        <v>1</v>
      </c>
      <c r="BL20" s="7">
        <v>0</v>
      </c>
      <c r="BM20" s="9" t="str">
        <f t="shared" si="65"/>
        <v/>
      </c>
      <c r="BN20" s="3">
        <v>3</v>
      </c>
      <c r="BO20" s="1" t="s">
        <v>1</v>
      </c>
      <c r="BP20" s="7">
        <v>0</v>
      </c>
      <c r="BQ20" s="9" t="str">
        <f t="shared" si="66"/>
        <v/>
      </c>
      <c r="BR20" s="3">
        <v>4</v>
      </c>
      <c r="BS20" s="1" t="s">
        <v>1</v>
      </c>
      <c r="BT20" s="7">
        <v>0</v>
      </c>
      <c r="BU20" s="9" t="str">
        <f t="shared" si="67"/>
        <v/>
      </c>
      <c r="BV20" s="3">
        <v>4</v>
      </c>
      <c r="BW20" s="1" t="s">
        <v>1</v>
      </c>
      <c r="BX20" s="7">
        <v>0</v>
      </c>
      <c r="BY20" s="9" t="str">
        <f t="shared" si="68"/>
        <v/>
      </c>
      <c r="BZ20" s="3">
        <v>5</v>
      </c>
      <c r="CA20" s="1" t="s">
        <v>1</v>
      </c>
      <c r="CB20" s="7">
        <v>0</v>
      </c>
      <c r="CC20" s="9" t="str">
        <f t="shared" si="69"/>
        <v/>
      </c>
      <c r="CD20" s="3">
        <v>4</v>
      </c>
      <c r="CE20" s="1" t="s">
        <v>1</v>
      </c>
      <c r="CF20" s="7">
        <v>0</v>
      </c>
      <c r="CG20" s="9" t="str">
        <f t="shared" si="70"/>
        <v/>
      </c>
      <c r="CH20" s="3">
        <v>5</v>
      </c>
      <c r="CI20" s="1" t="s">
        <v>1</v>
      </c>
      <c r="CJ20" s="7">
        <v>0</v>
      </c>
      <c r="CK20" s="9" t="str">
        <f t="shared" si="71"/>
        <v/>
      </c>
      <c r="CL20" s="3">
        <v>4</v>
      </c>
      <c r="CM20" s="1" t="s">
        <v>1</v>
      </c>
      <c r="CN20" s="7">
        <v>0</v>
      </c>
      <c r="CO20" s="9" t="str">
        <f t="shared" si="72"/>
        <v/>
      </c>
      <c r="CP20" s="3">
        <v>6</v>
      </c>
      <c r="CQ20" s="1" t="s">
        <v>1</v>
      </c>
      <c r="CR20" s="7">
        <v>0</v>
      </c>
      <c r="CS20" s="9" t="str">
        <f t="shared" si="73"/>
        <v/>
      </c>
      <c r="CT20" s="3">
        <v>3</v>
      </c>
      <c r="CU20" s="1" t="s">
        <v>1</v>
      </c>
      <c r="CV20" s="7">
        <v>0</v>
      </c>
      <c r="CW20" s="9" t="str">
        <f t="shared" si="74"/>
        <v/>
      </c>
      <c r="CX20" s="3">
        <v>4</v>
      </c>
      <c r="CY20" s="1" t="s">
        <v>1</v>
      </c>
      <c r="CZ20" s="7">
        <v>0</v>
      </c>
      <c r="DA20" s="9" t="str">
        <f t="shared" si="75"/>
        <v/>
      </c>
      <c r="DB20" s="3">
        <v>5</v>
      </c>
      <c r="DC20" s="1" t="s">
        <v>1</v>
      </c>
      <c r="DD20" s="7">
        <v>0</v>
      </c>
      <c r="DE20" s="9" t="str">
        <f t="shared" si="76"/>
        <v/>
      </c>
      <c r="DF20" s="3">
        <v>2</v>
      </c>
      <c r="DG20" s="1" t="s">
        <v>1</v>
      </c>
      <c r="DH20" s="7">
        <v>0</v>
      </c>
      <c r="DI20" s="9" t="str">
        <f t="shared" si="77"/>
        <v/>
      </c>
    </row>
    <row r="21" spans="2:113" x14ac:dyDescent="0.3">
      <c r="B21" s="12">
        <v>46198</v>
      </c>
      <c r="C21" s="7" t="s">
        <v>67</v>
      </c>
      <c r="D21" s="3" t="s">
        <v>22</v>
      </c>
      <c r="E21" s="1" t="s">
        <v>1</v>
      </c>
      <c r="F21" s="5" t="s">
        <v>19</v>
      </c>
      <c r="G21" s="3"/>
      <c r="H21" s="1" t="s">
        <v>1</v>
      </c>
      <c r="I21" s="5"/>
      <c r="J21" s="3">
        <v>1</v>
      </c>
      <c r="K21" s="1" t="s">
        <v>1</v>
      </c>
      <c r="L21" s="7">
        <v>3</v>
      </c>
      <c r="M21" s="9" t="str">
        <f t="shared" si="52"/>
        <v/>
      </c>
      <c r="N21" s="3">
        <v>1</v>
      </c>
      <c r="O21" s="1" t="s">
        <v>1</v>
      </c>
      <c r="P21" s="7">
        <v>2</v>
      </c>
      <c r="Q21" s="9" t="str">
        <f t="shared" si="53"/>
        <v/>
      </c>
      <c r="R21" s="3">
        <v>0</v>
      </c>
      <c r="S21" s="1" t="s">
        <v>1</v>
      </c>
      <c r="T21" s="7">
        <v>3</v>
      </c>
      <c r="U21" s="9" t="str">
        <f t="shared" si="54"/>
        <v/>
      </c>
      <c r="V21" s="3">
        <v>1</v>
      </c>
      <c r="W21" s="1" t="s">
        <v>1</v>
      </c>
      <c r="X21" s="7">
        <v>2</v>
      </c>
      <c r="Y21" s="9" t="str">
        <f t="shared" si="55"/>
        <v/>
      </c>
      <c r="Z21" s="3">
        <v>0</v>
      </c>
      <c r="AA21" s="1" t="s">
        <v>1</v>
      </c>
      <c r="AB21" s="7">
        <v>2</v>
      </c>
      <c r="AC21" s="9" t="str">
        <f t="shared" si="56"/>
        <v/>
      </c>
      <c r="AD21" s="3">
        <v>1</v>
      </c>
      <c r="AE21" s="1" t="s">
        <v>1</v>
      </c>
      <c r="AF21" s="7">
        <v>2</v>
      </c>
      <c r="AG21" s="9" t="str">
        <f t="shared" si="57"/>
        <v/>
      </c>
      <c r="AH21" s="3">
        <v>1</v>
      </c>
      <c r="AI21" s="1" t="s">
        <v>1</v>
      </c>
      <c r="AJ21" s="7">
        <v>2</v>
      </c>
      <c r="AK21" s="9" t="str">
        <f t="shared" si="58"/>
        <v/>
      </c>
      <c r="AL21" s="3">
        <v>0</v>
      </c>
      <c r="AM21" s="1" t="s">
        <v>1</v>
      </c>
      <c r="AN21" s="7">
        <v>1</v>
      </c>
      <c r="AO21" s="9" t="str">
        <f t="shared" si="59"/>
        <v/>
      </c>
      <c r="AP21" s="3">
        <v>1</v>
      </c>
      <c r="AQ21" s="1" t="s">
        <v>1</v>
      </c>
      <c r="AR21" s="7">
        <v>2</v>
      </c>
      <c r="AS21" s="9" t="str">
        <f t="shared" si="60"/>
        <v/>
      </c>
      <c r="AT21" s="3">
        <v>1</v>
      </c>
      <c r="AU21" s="1" t="s">
        <v>1</v>
      </c>
      <c r="AV21" s="7">
        <v>3</v>
      </c>
      <c r="AW21" s="9" t="str">
        <f t="shared" si="61"/>
        <v/>
      </c>
      <c r="AX21" s="3">
        <v>1</v>
      </c>
      <c r="AY21" s="1" t="s">
        <v>1</v>
      </c>
      <c r="AZ21" s="7">
        <v>3</v>
      </c>
      <c r="BA21" s="9" t="str">
        <f t="shared" si="62"/>
        <v/>
      </c>
      <c r="BB21" s="3">
        <v>0</v>
      </c>
      <c r="BC21" s="1" t="s">
        <v>1</v>
      </c>
      <c r="BD21" s="7">
        <v>3</v>
      </c>
      <c r="BE21" s="9" t="str">
        <f t="shared" si="63"/>
        <v/>
      </c>
      <c r="BF21" s="3">
        <v>0</v>
      </c>
      <c r="BG21" s="1" t="s">
        <v>1</v>
      </c>
      <c r="BH21" s="7">
        <v>3</v>
      </c>
      <c r="BI21" s="9" t="str">
        <f t="shared" si="64"/>
        <v/>
      </c>
      <c r="BJ21" s="3">
        <v>2</v>
      </c>
      <c r="BK21" s="1" t="s">
        <v>1</v>
      </c>
      <c r="BL21" s="7">
        <v>2</v>
      </c>
      <c r="BM21" s="9" t="str">
        <f t="shared" si="65"/>
        <v/>
      </c>
      <c r="BN21" s="3">
        <v>0</v>
      </c>
      <c r="BO21" s="1" t="s">
        <v>1</v>
      </c>
      <c r="BP21" s="7">
        <v>2</v>
      </c>
      <c r="BQ21" s="9" t="str">
        <f t="shared" si="66"/>
        <v/>
      </c>
      <c r="BR21" s="3">
        <v>1</v>
      </c>
      <c r="BS21" s="1" t="s">
        <v>1</v>
      </c>
      <c r="BT21" s="7">
        <v>1</v>
      </c>
      <c r="BU21" s="9" t="str">
        <f t="shared" si="67"/>
        <v/>
      </c>
      <c r="BV21" s="3">
        <v>1</v>
      </c>
      <c r="BW21" s="1" t="s">
        <v>1</v>
      </c>
      <c r="BX21" s="7">
        <v>3</v>
      </c>
      <c r="BY21" s="9" t="str">
        <f t="shared" si="68"/>
        <v/>
      </c>
      <c r="BZ21" s="3">
        <v>0</v>
      </c>
      <c r="CA21" s="1" t="s">
        <v>1</v>
      </c>
      <c r="CB21" s="7">
        <v>3</v>
      </c>
      <c r="CC21" s="9" t="str">
        <f t="shared" si="69"/>
        <v/>
      </c>
      <c r="CD21" s="3">
        <v>0</v>
      </c>
      <c r="CE21" s="1" t="s">
        <v>1</v>
      </c>
      <c r="CF21" s="7">
        <v>2</v>
      </c>
      <c r="CG21" s="9" t="str">
        <f t="shared" si="70"/>
        <v/>
      </c>
      <c r="CH21" s="3">
        <v>2</v>
      </c>
      <c r="CI21" s="1" t="s">
        <v>1</v>
      </c>
      <c r="CJ21" s="7">
        <v>3</v>
      </c>
      <c r="CK21" s="9" t="str">
        <f t="shared" si="71"/>
        <v/>
      </c>
      <c r="CL21" s="3">
        <v>1</v>
      </c>
      <c r="CM21" s="1" t="s">
        <v>1</v>
      </c>
      <c r="CN21" s="7">
        <v>2</v>
      </c>
      <c r="CO21" s="9" t="str">
        <f t="shared" si="72"/>
        <v/>
      </c>
      <c r="CP21" s="3">
        <v>1</v>
      </c>
      <c r="CQ21" s="1" t="s">
        <v>1</v>
      </c>
      <c r="CR21" s="7">
        <v>3</v>
      </c>
      <c r="CS21" s="9" t="str">
        <f t="shared" si="73"/>
        <v/>
      </c>
      <c r="CT21" s="3">
        <v>1</v>
      </c>
      <c r="CU21" s="1" t="s">
        <v>1</v>
      </c>
      <c r="CV21" s="7">
        <v>2</v>
      </c>
      <c r="CW21" s="9" t="str">
        <f t="shared" si="74"/>
        <v/>
      </c>
      <c r="CX21" s="3">
        <v>1</v>
      </c>
      <c r="CY21" s="1" t="s">
        <v>1</v>
      </c>
      <c r="CZ21" s="7">
        <v>3</v>
      </c>
      <c r="DA21" s="9" t="str">
        <f t="shared" si="75"/>
        <v/>
      </c>
      <c r="DB21" s="3">
        <v>3</v>
      </c>
      <c r="DC21" s="1" t="s">
        <v>1</v>
      </c>
      <c r="DD21" s="7">
        <v>1</v>
      </c>
      <c r="DE21" s="9" t="str">
        <f t="shared" si="76"/>
        <v/>
      </c>
      <c r="DF21" s="3">
        <v>1</v>
      </c>
      <c r="DG21" s="1" t="s">
        <v>1</v>
      </c>
      <c r="DH21" s="7">
        <v>1</v>
      </c>
      <c r="DI21" s="9" t="str">
        <f t="shared" si="77"/>
        <v/>
      </c>
    </row>
    <row r="22" spans="2:113" ht="15" thickBot="1" x14ac:dyDescent="0.35">
      <c r="B22" s="13">
        <v>46198</v>
      </c>
      <c r="C22" s="8" t="s">
        <v>67</v>
      </c>
      <c r="D22" s="4" t="s">
        <v>20</v>
      </c>
      <c r="E22" s="2" t="s">
        <v>1</v>
      </c>
      <c r="F22" s="6" t="s">
        <v>21</v>
      </c>
      <c r="G22" s="4"/>
      <c r="H22" s="2" t="s">
        <v>1</v>
      </c>
      <c r="I22" s="6"/>
      <c r="J22" s="4">
        <v>3</v>
      </c>
      <c r="K22" s="2" t="s">
        <v>1</v>
      </c>
      <c r="L22" s="8">
        <v>0</v>
      </c>
      <c r="M22" s="10" t="str">
        <f t="shared" si="52"/>
        <v/>
      </c>
      <c r="N22" s="4">
        <v>1</v>
      </c>
      <c r="O22" s="2" t="s">
        <v>1</v>
      </c>
      <c r="P22" s="8">
        <v>0</v>
      </c>
      <c r="Q22" s="10" t="str">
        <f t="shared" si="53"/>
        <v/>
      </c>
      <c r="R22" s="4">
        <v>3</v>
      </c>
      <c r="S22" s="2" t="s">
        <v>1</v>
      </c>
      <c r="T22" s="8">
        <v>0</v>
      </c>
      <c r="U22" s="10" t="str">
        <f t="shared" si="54"/>
        <v/>
      </c>
      <c r="V22" s="4">
        <v>4</v>
      </c>
      <c r="W22" s="2" t="s">
        <v>1</v>
      </c>
      <c r="X22" s="8">
        <v>0</v>
      </c>
      <c r="Y22" s="10" t="str">
        <f t="shared" si="55"/>
        <v/>
      </c>
      <c r="Z22" s="4">
        <v>3</v>
      </c>
      <c r="AA22" s="2" t="s">
        <v>1</v>
      </c>
      <c r="AB22" s="8">
        <v>0</v>
      </c>
      <c r="AC22" s="10" t="str">
        <f t="shared" si="56"/>
        <v/>
      </c>
      <c r="AD22" s="4">
        <v>2</v>
      </c>
      <c r="AE22" s="2" t="s">
        <v>1</v>
      </c>
      <c r="AF22" s="8">
        <v>0</v>
      </c>
      <c r="AG22" s="10" t="str">
        <f t="shared" si="57"/>
        <v/>
      </c>
      <c r="AH22" s="4">
        <v>2</v>
      </c>
      <c r="AI22" s="2" t="s">
        <v>1</v>
      </c>
      <c r="AJ22" s="8">
        <v>0</v>
      </c>
      <c r="AK22" s="10" t="str">
        <f t="shared" si="58"/>
        <v/>
      </c>
      <c r="AL22" s="4">
        <v>1</v>
      </c>
      <c r="AM22" s="2" t="s">
        <v>1</v>
      </c>
      <c r="AN22" s="8">
        <v>0</v>
      </c>
      <c r="AO22" s="10" t="str">
        <f t="shared" si="59"/>
        <v/>
      </c>
      <c r="AP22" s="4">
        <v>2</v>
      </c>
      <c r="AQ22" s="2" t="s">
        <v>1</v>
      </c>
      <c r="AR22" s="8">
        <v>1</v>
      </c>
      <c r="AS22" s="10" t="str">
        <f t="shared" si="60"/>
        <v/>
      </c>
      <c r="AT22" s="4">
        <v>0</v>
      </c>
      <c r="AU22" s="2" t="s">
        <v>1</v>
      </c>
      <c r="AV22" s="8">
        <v>0</v>
      </c>
      <c r="AW22" s="10" t="str">
        <f t="shared" si="61"/>
        <v/>
      </c>
      <c r="AX22" s="4">
        <v>3</v>
      </c>
      <c r="AY22" s="2" t="s">
        <v>1</v>
      </c>
      <c r="AZ22" s="8">
        <v>0</v>
      </c>
      <c r="BA22" s="10" t="str">
        <f t="shared" si="62"/>
        <v/>
      </c>
      <c r="BB22" s="4">
        <v>3</v>
      </c>
      <c r="BC22" s="2" t="s">
        <v>1</v>
      </c>
      <c r="BD22" s="8">
        <v>0</v>
      </c>
      <c r="BE22" s="10" t="str">
        <f t="shared" si="63"/>
        <v/>
      </c>
      <c r="BF22" s="4">
        <v>4</v>
      </c>
      <c r="BG22" s="2" t="s">
        <v>1</v>
      </c>
      <c r="BH22" s="8">
        <v>1</v>
      </c>
      <c r="BI22" s="10" t="str">
        <f t="shared" si="64"/>
        <v/>
      </c>
      <c r="BJ22" s="4">
        <v>2</v>
      </c>
      <c r="BK22" s="2" t="s">
        <v>1</v>
      </c>
      <c r="BL22" s="8">
        <v>0</v>
      </c>
      <c r="BM22" s="10" t="str">
        <f t="shared" si="65"/>
        <v/>
      </c>
      <c r="BN22" s="4">
        <v>2</v>
      </c>
      <c r="BO22" s="2" t="s">
        <v>1</v>
      </c>
      <c r="BP22" s="8">
        <v>0</v>
      </c>
      <c r="BQ22" s="10" t="str">
        <f t="shared" si="66"/>
        <v/>
      </c>
      <c r="BR22" s="4">
        <v>2</v>
      </c>
      <c r="BS22" s="2" t="s">
        <v>1</v>
      </c>
      <c r="BT22" s="8">
        <v>0</v>
      </c>
      <c r="BU22" s="10" t="str">
        <f t="shared" si="67"/>
        <v/>
      </c>
      <c r="BV22" s="4">
        <v>3</v>
      </c>
      <c r="BW22" s="2" t="s">
        <v>1</v>
      </c>
      <c r="BX22" s="8">
        <v>0</v>
      </c>
      <c r="BY22" s="10" t="str">
        <f t="shared" si="68"/>
        <v/>
      </c>
      <c r="BZ22" s="4">
        <v>4</v>
      </c>
      <c r="CA22" s="2" t="s">
        <v>1</v>
      </c>
      <c r="CB22" s="8">
        <v>1</v>
      </c>
      <c r="CC22" s="10" t="str">
        <f t="shared" si="69"/>
        <v/>
      </c>
      <c r="CD22" s="4">
        <v>2</v>
      </c>
      <c r="CE22" s="2" t="s">
        <v>1</v>
      </c>
      <c r="CF22" s="8">
        <v>0</v>
      </c>
      <c r="CG22" s="10" t="str">
        <f t="shared" si="70"/>
        <v/>
      </c>
      <c r="CH22" s="4">
        <v>3</v>
      </c>
      <c r="CI22" s="2" t="s">
        <v>1</v>
      </c>
      <c r="CJ22" s="8">
        <v>0</v>
      </c>
      <c r="CK22" s="10" t="str">
        <f t="shared" si="71"/>
        <v/>
      </c>
      <c r="CL22" s="4">
        <v>2</v>
      </c>
      <c r="CM22" s="2" t="s">
        <v>1</v>
      </c>
      <c r="CN22" s="8">
        <v>1</v>
      </c>
      <c r="CO22" s="10" t="str">
        <f t="shared" si="72"/>
        <v/>
      </c>
      <c r="CP22" s="4">
        <v>5</v>
      </c>
      <c r="CQ22" s="2" t="s">
        <v>1</v>
      </c>
      <c r="CR22" s="8">
        <v>0</v>
      </c>
      <c r="CS22" s="10" t="str">
        <f t="shared" si="73"/>
        <v/>
      </c>
      <c r="CT22" s="4">
        <v>2</v>
      </c>
      <c r="CU22" s="2" t="s">
        <v>1</v>
      </c>
      <c r="CV22" s="8">
        <v>0</v>
      </c>
      <c r="CW22" s="10" t="str">
        <f t="shared" si="74"/>
        <v/>
      </c>
      <c r="CX22" s="4">
        <v>3</v>
      </c>
      <c r="CY22" s="2" t="s">
        <v>1</v>
      </c>
      <c r="CZ22" s="8">
        <v>0</v>
      </c>
      <c r="DA22" s="10" t="str">
        <f t="shared" si="75"/>
        <v/>
      </c>
      <c r="DB22" s="4">
        <v>4</v>
      </c>
      <c r="DC22" s="2" t="s">
        <v>1</v>
      </c>
      <c r="DD22" s="8">
        <v>1</v>
      </c>
      <c r="DE22" s="10" t="str">
        <f t="shared" si="76"/>
        <v/>
      </c>
      <c r="DF22" s="4">
        <v>1</v>
      </c>
      <c r="DG22" s="2" t="s">
        <v>1</v>
      </c>
      <c r="DH22" s="8">
        <v>0</v>
      </c>
      <c r="DI22" s="10" t="str">
        <f t="shared" si="77"/>
        <v/>
      </c>
    </row>
    <row r="23" spans="2:113" ht="15" thickBot="1" x14ac:dyDescent="0.35">
      <c r="B23" s="51" t="s">
        <v>77</v>
      </c>
      <c r="C23" s="52" t="s">
        <v>78</v>
      </c>
      <c r="D23" s="157" t="s">
        <v>10</v>
      </c>
      <c r="E23" s="158"/>
      <c r="F23" s="159"/>
      <c r="G23" s="53" t="s">
        <v>7</v>
      </c>
      <c r="H23" s="54"/>
      <c r="I23" s="55"/>
      <c r="J23" s="61"/>
      <c r="K23" s="62"/>
      <c r="L23" s="62"/>
      <c r="M23" s="63"/>
      <c r="N23" s="64"/>
      <c r="O23" s="65"/>
      <c r="P23" s="65"/>
      <c r="Q23" s="66"/>
      <c r="R23" s="67"/>
      <c r="S23" s="68"/>
      <c r="T23" s="68"/>
      <c r="U23" s="69"/>
      <c r="V23" s="109"/>
      <c r="W23" s="110"/>
      <c r="X23" s="110"/>
      <c r="Y23" s="111"/>
      <c r="Z23" s="70"/>
      <c r="AA23" s="71"/>
      <c r="AB23" s="71"/>
      <c r="AC23" s="72"/>
      <c r="AD23" s="73"/>
      <c r="AE23" s="74"/>
      <c r="AF23" s="74"/>
      <c r="AG23" s="75"/>
      <c r="AH23" s="76"/>
      <c r="AI23" s="77"/>
      <c r="AJ23" s="77"/>
      <c r="AK23" s="78"/>
      <c r="AL23" s="79"/>
      <c r="AM23" s="80"/>
      <c r="AN23" s="80"/>
      <c r="AO23" s="81"/>
      <c r="AP23" s="41"/>
      <c r="AQ23" s="42"/>
      <c r="AR23" s="42"/>
      <c r="AS23" s="43"/>
      <c r="AT23" s="82"/>
      <c r="AU23" s="83"/>
      <c r="AV23" s="83"/>
      <c r="AW23" s="84"/>
      <c r="AX23" s="85"/>
      <c r="AY23" s="86"/>
      <c r="AZ23" s="86"/>
      <c r="BA23" s="87"/>
      <c r="BB23" s="88"/>
      <c r="BC23" s="89"/>
      <c r="BD23" s="89"/>
      <c r="BE23" s="90"/>
      <c r="BF23" s="91"/>
      <c r="BG23" s="92"/>
      <c r="BH23" s="92"/>
      <c r="BI23" s="93"/>
      <c r="BJ23" s="94"/>
      <c r="BK23" s="95"/>
      <c r="BL23" s="95"/>
      <c r="BM23" s="96"/>
      <c r="BN23" s="34"/>
      <c r="BO23" s="36"/>
      <c r="BP23" s="36"/>
      <c r="BQ23" s="35"/>
      <c r="BR23" s="79"/>
      <c r="BS23" s="80"/>
      <c r="BT23" s="80"/>
      <c r="BU23" s="81"/>
      <c r="BV23" s="97"/>
      <c r="BW23" s="98"/>
      <c r="BX23" s="98"/>
      <c r="BY23" s="99"/>
      <c r="BZ23" s="41"/>
      <c r="CA23" s="42"/>
      <c r="CB23" s="42"/>
      <c r="CC23" s="43"/>
      <c r="CD23" s="100"/>
      <c r="CE23" s="101"/>
      <c r="CF23" s="101"/>
      <c r="CG23" s="102"/>
      <c r="CH23" s="103"/>
      <c r="CI23" s="104"/>
      <c r="CJ23" s="104"/>
      <c r="CK23" s="105"/>
      <c r="CL23" s="109"/>
      <c r="CM23" s="110"/>
      <c r="CN23" s="110"/>
      <c r="CO23" s="111"/>
      <c r="CP23" s="106"/>
      <c r="CQ23" s="107"/>
      <c r="CR23" s="107"/>
      <c r="CS23" s="108"/>
      <c r="CT23" s="85"/>
      <c r="CU23" s="86"/>
      <c r="CV23" s="86"/>
      <c r="CW23" s="87"/>
      <c r="CX23" s="133"/>
      <c r="CY23" s="134"/>
      <c r="CZ23" s="134"/>
      <c r="DA23" s="135"/>
      <c r="DB23" s="137"/>
      <c r="DC23" s="138"/>
      <c r="DD23" s="138"/>
      <c r="DE23" s="139"/>
      <c r="DF23" s="53"/>
      <c r="DG23" s="54"/>
      <c r="DH23" s="54"/>
      <c r="DI23" s="55"/>
    </row>
    <row r="24" spans="2:113" x14ac:dyDescent="0.3">
      <c r="B24" s="12">
        <v>46186</v>
      </c>
      <c r="C24" s="7" t="s">
        <v>66</v>
      </c>
      <c r="D24" s="3" t="s">
        <v>23</v>
      </c>
      <c r="E24" s="1" t="s">
        <v>1</v>
      </c>
      <c r="F24" s="5" t="s">
        <v>24</v>
      </c>
      <c r="G24" s="3">
        <v>4</v>
      </c>
      <c r="H24" s="1" t="s">
        <v>1</v>
      </c>
      <c r="I24" s="5">
        <v>1</v>
      </c>
      <c r="J24" s="3">
        <v>2</v>
      </c>
      <c r="K24" s="1" t="s">
        <v>1</v>
      </c>
      <c r="L24" s="7">
        <v>1</v>
      </c>
      <c r="M24" s="11">
        <f>IF(ISBLANK($I24)=TRUE,"",IF(SIGN(J24-L24)=SIGN($G24-$I24),1,0)+IF(J24=$G24,IF(L24=$I24,2,0),0))</f>
        <v>1</v>
      </c>
      <c r="N24" s="3">
        <v>2</v>
      </c>
      <c r="O24" s="1" t="s">
        <v>1</v>
      </c>
      <c r="P24" s="7">
        <v>1</v>
      </c>
      <c r="Q24" s="11">
        <f>IF(ISBLANK($I24)=TRUE,"",IF(SIGN(N24-P24)=SIGN($G24-$I24),1,0)+IF(N24=$G24,IF(P24=$I24,2,0),0))</f>
        <v>1</v>
      </c>
      <c r="R24" s="3">
        <v>3</v>
      </c>
      <c r="S24" s="1" t="s">
        <v>1</v>
      </c>
      <c r="T24" s="7">
        <v>1</v>
      </c>
      <c r="U24" s="11">
        <f>IF(ISBLANK($I24)=TRUE,"",IF(SIGN(R24-T24)=SIGN($G24-$I24),1,0)+IF(R24=$G24,IF(T24=$I24,2,0),0))</f>
        <v>1</v>
      </c>
      <c r="V24" s="3">
        <v>2</v>
      </c>
      <c r="W24" s="1" t="s">
        <v>1</v>
      </c>
      <c r="X24" s="7">
        <v>0</v>
      </c>
      <c r="Y24" s="11">
        <f>IF(ISBLANK($I24)=TRUE,"",IF(SIGN(V24-X24)=SIGN($G24-$I24),1,0)+IF(V24=$G24,IF(X24=$I24,2,0),0))</f>
        <v>1</v>
      </c>
      <c r="Z24" s="3">
        <v>2</v>
      </c>
      <c r="AA24" s="1" t="s">
        <v>1</v>
      </c>
      <c r="AB24" s="7">
        <v>0</v>
      </c>
      <c r="AC24" s="11">
        <f>IF(ISBLANK($I24)=TRUE,"",IF(SIGN(Z24-AB24)=SIGN($G24-$I24),1,0)+IF(Z24=$G24,IF(AB24=$I24,2,0),0))</f>
        <v>1</v>
      </c>
      <c r="AD24" s="3">
        <v>2</v>
      </c>
      <c r="AE24" s="1" t="s">
        <v>1</v>
      </c>
      <c r="AF24" s="7">
        <v>0</v>
      </c>
      <c r="AG24" s="11">
        <f>IF(ISBLANK($I24)=TRUE,"",IF(SIGN(AD24-AF24)=SIGN($G24-$I24),1,0)+IF(AD24=$G24,IF(AF24=$I24,2,0),0))</f>
        <v>1</v>
      </c>
      <c r="AH24" s="3">
        <v>1</v>
      </c>
      <c r="AI24" s="1" t="s">
        <v>1</v>
      </c>
      <c r="AJ24" s="7">
        <v>0</v>
      </c>
      <c r="AK24" s="11">
        <f>IF(ISBLANK($I24)=TRUE,"",IF(SIGN(AH24-AJ24)=SIGN($G24-$I24),1,0)+IF(AH24=$G24,IF(AJ24=$I24,2,0),0))</f>
        <v>1</v>
      </c>
      <c r="AL24" s="3">
        <v>0</v>
      </c>
      <c r="AM24" s="1" t="s">
        <v>1</v>
      </c>
      <c r="AN24" s="7">
        <v>0</v>
      </c>
      <c r="AO24" s="11">
        <f>IF(ISBLANK($I24)=TRUE,"",IF(SIGN(AL24-AN24)=SIGN($G24-$I24),1,0)+IF(AL24=$G24,IF(AN24=$I24,2,0),0))</f>
        <v>0</v>
      </c>
      <c r="AP24" s="3">
        <v>2</v>
      </c>
      <c r="AQ24" s="1" t="s">
        <v>1</v>
      </c>
      <c r="AR24" s="7">
        <v>0</v>
      </c>
      <c r="AS24" s="11">
        <f>IF(ISBLANK($I24)=TRUE,"",IF(SIGN(AP24-AR24)=SIGN($G24-$I24),1,0)+IF(AP24=$G24,IF(AR24=$I24,2,0),0))</f>
        <v>1</v>
      </c>
      <c r="AT24" s="3">
        <v>3</v>
      </c>
      <c r="AU24" s="1" t="s">
        <v>1</v>
      </c>
      <c r="AV24" s="7">
        <v>1</v>
      </c>
      <c r="AW24" s="11">
        <f>IF(ISBLANK($I24)=TRUE,"",IF(SIGN(AT24-AV24)=SIGN($G24-$I24),1,0)+IF(AT24=$G24,IF(AV24=$I24,2,0),0))</f>
        <v>1</v>
      </c>
      <c r="AX24" s="3">
        <v>0</v>
      </c>
      <c r="AY24" s="1" t="s">
        <v>1</v>
      </c>
      <c r="AZ24" s="7">
        <v>1</v>
      </c>
      <c r="BA24" s="11">
        <f>IF(ISBLANK($I24)=TRUE,"",IF(SIGN(AX24-AZ24)=SIGN($G24-$I24),1,0)+IF(AX24=$G24,IF(AZ24=$I24,2,0),0))</f>
        <v>0</v>
      </c>
      <c r="BB24" s="3">
        <v>1</v>
      </c>
      <c r="BC24" s="1" t="s">
        <v>1</v>
      </c>
      <c r="BD24" s="7">
        <v>1</v>
      </c>
      <c r="BE24" s="11">
        <f>IF(ISBLANK($I24)=TRUE,"",IF(SIGN(BB24-BD24)=SIGN($G24-$I24),1,0)+IF(BB24=$G24,IF(BD24=$I24,2,0),0))</f>
        <v>0</v>
      </c>
      <c r="BF24" s="3">
        <v>1</v>
      </c>
      <c r="BG24" s="1" t="s">
        <v>1</v>
      </c>
      <c r="BH24" s="7">
        <v>0</v>
      </c>
      <c r="BI24" s="11">
        <f>IF(ISBLANK($I24)=TRUE,"",IF(SIGN(BF24-BH24)=SIGN($G24-$I24),1,0)+IF(BF24=$G24,IF(BH24=$I24,2,0),0))</f>
        <v>1</v>
      </c>
      <c r="BJ24" s="3">
        <v>2</v>
      </c>
      <c r="BK24" s="1" t="s">
        <v>1</v>
      </c>
      <c r="BL24" s="7">
        <v>1</v>
      </c>
      <c r="BM24" s="11">
        <f>IF(ISBLANK($I24)=TRUE,"",IF(SIGN(BJ24-BL24)=SIGN($G24-$I24),1,0)+IF(BJ24=$G24,IF(BL24=$I24,2,0),0))</f>
        <v>1</v>
      </c>
      <c r="BN24" s="3">
        <v>1</v>
      </c>
      <c r="BO24" s="1" t="s">
        <v>1</v>
      </c>
      <c r="BP24" s="7">
        <v>0</v>
      </c>
      <c r="BQ24" s="11">
        <f>IF(ISBLANK($I24)=TRUE,"",IF(SIGN(BN24-BP24)=SIGN($G24-$I24),1,0)+IF(BN24=$G24,IF(BP24=$I24,2,0),0))</f>
        <v>1</v>
      </c>
      <c r="BR24" s="3">
        <v>2</v>
      </c>
      <c r="BS24" s="1" t="s">
        <v>1</v>
      </c>
      <c r="BT24" s="7">
        <v>1</v>
      </c>
      <c r="BU24" s="11">
        <f>IF(ISBLANK($I24)=TRUE,"",IF(SIGN(BR24-BT24)=SIGN($G24-$I24),1,0)+IF(BR24=$G24,IF(BT24=$I24,2,0),0))</f>
        <v>1</v>
      </c>
      <c r="BV24" s="3">
        <v>3</v>
      </c>
      <c r="BW24" s="1" t="s">
        <v>1</v>
      </c>
      <c r="BX24" s="7">
        <v>0</v>
      </c>
      <c r="BY24" s="11">
        <f>IF(ISBLANK($I24)=TRUE,"",IF(SIGN(BV24-BX24)=SIGN($G24-$I24),1,0)+IF(BV24=$G24,IF(BX24=$I24,2,0),0))</f>
        <v>1</v>
      </c>
      <c r="BZ24" s="3">
        <v>2</v>
      </c>
      <c r="CA24" s="1" t="s">
        <v>1</v>
      </c>
      <c r="CB24" s="7">
        <v>1</v>
      </c>
      <c r="CC24" s="11">
        <f>IF(ISBLANK($I24)=TRUE,"",IF(SIGN(BZ24-CB24)=SIGN($G24-$I24),1,0)+IF(BZ24=$G24,IF(CB24=$I24,2,0),0))</f>
        <v>1</v>
      </c>
      <c r="CD24" s="3">
        <v>2</v>
      </c>
      <c r="CE24" s="1" t="s">
        <v>1</v>
      </c>
      <c r="CF24" s="7">
        <v>1</v>
      </c>
      <c r="CG24" s="11">
        <f>IF(ISBLANK($I24)=TRUE,"",IF(SIGN(CD24-CF24)=SIGN($G24-$I24),1,0)+IF(CD24=$G24,IF(CF24=$I24,2,0),0))</f>
        <v>1</v>
      </c>
      <c r="CH24" s="3">
        <v>2</v>
      </c>
      <c r="CI24" s="1" t="s">
        <v>1</v>
      </c>
      <c r="CJ24" s="7">
        <v>1</v>
      </c>
      <c r="CK24" s="11">
        <f>IF(ISBLANK($I24)=TRUE,"",IF(SIGN(CH24-CJ24)=SIGN($G24-$I24),1,0)+IF(CH24=$G24,IF(CJ24=$I24,2,0),0))</f>
        <v>1</v>
      </c>
      <c r="CL24" s="3">
        <v>2</v>
      </c>
      <c r="CM24" s="1" t="s">
        <v>1</v>
      </c>
      <c r="CN24" s="7">
        <v>0</v>
      </c>
      <c r="CO24" s="11">
        <f>IF(ISBLANK($I24)=TRUE,"",IF(SIGN(CL24-CN24)=SIGN($G24-$I24),1,0)+IF(CL24=$G24,IF(CN24=$I24,2,0),0))</f>
        <v>1</v>
      </c>
      <c r="CP24" s="3">
        <v>2</v>
      </c>
      <c r="CQ24" s="1" t="s">
        <v>1</v>
      </c>
      <c r="CR24" s="7">
        <v>1</v>
      </c>
      <c r="CS24" s="11">
        <f>IF(ISBLANK($I24)=TRUE,"",IF(SIGN(CP24-CR24)=SIGN($G24-$I24),1,0)+IF(CP24=$G24,IF(CR24=$I24,2,0),0))</f>
        <v>1</v>
      </c>
      <c r="CT24" s="3">
        <v>2</v>
      </c>
      <c r="CU24" s="1" t="s">
        <v>1</v>
      </c>
      <c r="CV24" s="7">
        <v>1</v>
      </c>
      <c r="CW24" s="11">
        <f>IF(ISBLANK($I24)=TRUE,"",IF(SIGN(CT24-CV24)=SIGN($G24-$I24),1,0)+IF(CT24=$G24,IF(CV24=$I24,2,0),0))</f>
        <v>1</v>
      </c>
      <c r="CX24" s="3">
        <v>1</v>
      </c>
      <c r="CY24" s="1" t="s">
        <v>1</v>
      </c>
      <c r="CZ24" s="7">
        <v>1</v>
      </c>
      <c r="DA24" s="11">
        <f>IF(ISBLANK($I24)=TRUE,"",IF(SIGN(CX24-CZ24)=SIGN($G24-$I24),1,0)+IF(CX24=$G24,IF(CZ24=$I24,2,0),0))</f>
        <v>0</v>
      </c>
      <c r="DB24" s="3">
        <v>1</v>
      </c>
      <c r="DC24" s="1" t="s">
        <v>1</v>
      </c>
      <c r="DD24" s="7">
        <v>1</v>
      </c>
      <c r="DE24" s="11">
        <f>IF(ISBLANK($I24)=TRUE,"",IF(SIGN(DB24-DD24)=SIGN($G24-$I24),1,0)+IF(DB24=$G24,IF(DD24=$I24,2,0),0))</f>
        <v>0</v>
      </c>
      <c r="DF24" s="3">
        <v>1</v>
      </c>
      <c r="DG24" s="1" t="s">
        <v>1</v>
      </c>
      <c r="DH24" s="7">
        <v>1</v>
      </c>
      <c r="DI24" s="11">
        <f>IF(ISBLANK($I24)=TRUE,"",IF(SIGN(DF24-DH24)=SIGN($G24-$I24),1,0)+IF(DF24=$G24,IF(DH24=$I24,2,0),0))</f>
        <v>0</v>
      </c>
    </row>
    <row r="25" spans="2:113" x14ac:dyDescent="0.3">
      <c r="B25" s="12">
        <v>46187</v>
      </c>
      <c r="C25" s="7" t="s">
        <v>69</v>
      </c>
      <c r="D25" s="3" t="s">
        <v>25</v>
      </c>
      <c r="E25" s="1" t="s">
        <v>1</v>
      </c>
      <c r="F25" s="5" t="s">
        <v>26</v>
      </c>
      <c r="G25" s="3"/>
      <c r="H25" s="1" t="s">
        <v>1</v>
      </c>
      <c r="I25" s="5"/>
      <c r="J25" s="3">
        <v>1</v>
      </c>
      <c r="K25" s="1" t="s">
        <v>1</v>
      </c>
      <c r="L25" s="7">
        <v>2</v>
      </c>
      <c r="M25" s="9" t="str">
        <f t="shared" ref="M25:M29" si="78">IF(ISBLANK($G25)=TRUE,"",IF(SIGN(J25-L25)=SIGN($G25-$I25),1,0)+IF(J25=$G25,IF(L25=$I25,2,0),0))</f>
        <v/>
      </c>
      <c r="N25" s="3">
        <v>0</v>
      </c>
      <c r="O25" s="1" t="s">
        <v>1</v>
      </c>
      <c r="P25" s="7">
        <v>1</v>
      </c>
      <c r="Q25" s="9" t="str">
        <f t="shared" ref="Q25:Q29" si="79">IF(ISBLANK($G25)=TRUE,"",IF(SIGN(N25-P25)=SIGN($G25-$I25),1,0)+IF(N25=$G25,IF(P25=$I25,2,0),0))</f>
        <v/>
      </c>
      <c r="R25" s="3">
        <v>1</v>
      </c>
      <c r="S25" s="1" t="s">
        <v>1</v>
      </c>
      <c r="T25" s="7">
        <v>2</v>
      </c>
      <c r="U25" s="9" t="str">
        <f t="shared" ref="U25:U29" si="80">IF(ISBLANK($G25)=TRUE,"",IF(SIGN(R25-T25)=SIGN($G25-$I25),1,0)+IF(R25=$G25,IF(T25=$I25,2,0),0))</f>
        <v/>
      </c>
      <c r="V25" s="3">
        <v>1</v>
      </c>
      <c r="W25" s="1" t="s">
        <v>1</v>
      </c>
      <c r="X25" s="7">
        <v>1</v>
      </c>
      <c r="Y25" s="9" t="str">
        <f t="shared" ref="Y25:Y29" si="81">IF(ISBLANK($G25)=TRUE,"",IF(SIGN(V25-X25)=SIGN($G25-$I25),1,0)+IF(V25=$G25,IF(X25=$I25,2,0),0))</f>
        <v/>
      </c>
      <c r="Z25" s="3">
        <v>1</v>
      </c>
      <c r="AA25" s="1" t="s">
        <v>1</v>
      </c>
      <c r="AB25" s="7">
        <v>2</v>
      </c>
      <c r="AC25" s="9" t="str">
        <f t="shared" ref="AC25:AC29" si="82">IF(ISBLANK($G25)=TRUE,"",IF(SIGN(Z25-AB25)=SIGN($G25-$I25),1,0)+IF(Z25=$G25,IF(AB25=$I25,2,0),0))</f>
        <v/>
      </c>
      <c r="AD25" s="3">
        <v>2</v>
      </c>
      <c r="AE25" s="1" t="s">
        <v>1</v>
      </c>
      <c r="AF25" s="7">
        <v>1</v>
      </c>
      <c r="AG25" s="9" t="str">
        <f t="shared" ref="AG25:AG29" si="83">IF(ISBLANK($G25)=TRUE,"",IF(SIGN(AD25-AF25)=SIGN($G25-$I25),1,0)+IF(AD25=$G25,IF(AF25=$I25,2,0),0))</f>
        <v/>
      </c>
      <c r="AH25" s="3">
        <v>1</v>
      </c>
      <c r="AI25" s="1" t="s">
        <v>1</v>
      </c>
      <c r="AJ25" s="7">
        <v>1</v>
      </c>
      <c r="AK25" s="9" t="str">
        <f t="shared" ref="AK25:AK29" si="84">IF(ISBLANK($G25)=TRUE,"",IF(SIGN(AH25-AJ25)=SIGN($G25-$I25),1,0)+IF(AH25=$G25,IF(AJ25=$I25,2,0),0))</f>
        <v/>
      </c>
      <c r="AL25" s="3">
        <v>0</v>
      </c>
      <c r="AM25" s="1" t="s">
        <v>1</v>
      </c>
      <c r="AN25" s="7">
        <v>1</v>
      </c>
      <c r="AO25" s="9" t="str">
        <f t="shared" ref="AO25:AO29" si="85">IF(ISBLANK($G25)=TRUE,"",IF(SIGN(AL25-AN25)=SIGN($G25-$I25),1,0)+IF(AL25=$G25,IF(AN25=$I25,2,0),0))</f>
        <v/>
      </c>
      <c r="AP25" s="3">
        <v>1</v>
      </c>
      <c r="AQ25" s="1" t="s">
        <v>1</v>
      </c>
      <c r="AR25" s="7">
        <v>2</v>
      </c>
      <c r="AS25" s="9" t="str">
        <f t="shared" ref="AS25:AS29" si="86">IF(ISBLANK($G25)=TRUE,"",IF(SIGN(AP25-AR25)=SIGN($G25-$I25),1,0)+IF(AP25=$G25,IF(AR25=$I25,2,0),0))</f>
        <v/>
      </c>
      <c r="AT25" s="3">
        <v>1</v>
      </c>
      <c r="AU25" s="1" t="s">
        <v>1</v>
      </c>
      <c r="AV25" s="7">
        <v>1</v>
      </c>
      <c r="AW25" s="9" t="str">
        <f t="shared" ref="AW25:AW29" si="87">IF(ISBLANK($G25)=TRUE,"",IF(SIGN(AT25-AV25)=SIGN($G25-$I25),1,0)+IF(AT25=$G25,IF(AV25=$I25,2,0),0))</f>
        <v/>
      </c>
      <c r="AX25" s="3">
        <v>1</v>
      </c>
      <c r="AY25" s="1" t="s">
        <v>1</v>
      </c>
      <c r="AZ25" s="7">
        <v>1</v>
      </c>
      <c r="BA25" s="9" t="str">
        <f t="shared" ref="BA25:BA29" si="88">IF(ISBLANK($G25)=TRUE,"",IF(SIGN(AX25-AZ25)=SIGN($G25-$I25),1,0)+IF(AX25=$G25,IF(AZ25=$I25,2,0),0))</f>
        <v/>
      </c>
      <c r="BB25" s="3">
        <v>1</v>
      </c>
      <c r="BC25" s="1" t="s">
        <v>1</v>
      </c>
      <c r="BD25" s="7">
        <v>1</v>
      </c>
      <c r="BE25" s="9" t="str">
        <f t="shared" ref="BE25:BE29" si="89">IF(ISBLANK($G25)=TRUE,"",IF(SIGN(BB25-BD25)=SIGN($G25-$I25),1,0)+IF(BB25=$G25,IF(BD25=$I25,2,0),0))</f>
        <v/>
      </c>
      <c r="BF25" s="3">
        <v>0</v>
      </c>
      <c r="BG25" s="1" t="s">
        <v>1</v>
      </c>
      <c r="BH25" s="7">
        <v>1</v>
      </c>
      <c r="BI25" s="9" t="str">
        <f t="shared" ref="BI25:BI29" si="90">IF(ISBLANK($G25)=TRUE,"",IF(SIGN(BF25-BH25)=SIGN($G25-$I25),1,0)+IF(BF25=$G25,IF(BH25=$I25,2,0),0))</f>
        <v/>
      </c>
      <c r="BJ25" s="3">
        <v>1</v>
      </c>
      <c r="BK25" s="1" t="s">
        <v>1</v>
      </c>
      <c r="BL25" s="7">
        <v>2</v>
      </c>
      <c r="BM25" s="9" t="str">
        <f t="shared" ref="BM25:BM29" si="91">IF(ISBLANK($G25)=TRUE,"",IF(SIGN(BJ25-BL25)=SIGN($G25-$I25),1,0)+IF(BJ25=$G25,IF(BL25=$I25,2,0),0))</f>
        <v/>
      </c>
      <c r="BN25" s="3">
        <v>0</v>
      </c>
      <c r="BO25" s="1" t="s">
        <v>1</v>
      </c>
      <c r="BP25" s="7">
        <v>2</v>
      </c>
      <c r="BQ25" s="9" t="str">
        <f t="shared" ref="BQ25:BQ29" si="92">IF(ISBLANK($G25)=TRUE,"",IF(SIGN(BN25-BP25)=SIGN($G25-$I25),1,0)+IF(BN25=$G25,IF(BP25=$I25,2,0),0))</f>
        <v/>
      </c>
      <c r="BR25" s="3">
        <v>1</v>
      </c>
      <c r="BS25" s="1" t="s">
        <v>1</v>
      </c>
      <c r="BT25" s="7">
        <v>1</v>
      </c>
      <c r="BU25" s="9" t="str">
        <f t="shared" ref="BU25:BU29" si="93">IF(ISBLANK($G25)=TRUE,"",IF(SIGN(BR25-BT25)=SIGN($G25-$I25),1,0)+IF(BR25=$G25,IF(BT25=$I25,2,0),0))</f>
        <v/>
      </c>
      <c r="BV25" s="3">
        <v>1</v>
      </c>
      <c r="BW25" s="1" t="s">
        <v>1</v>
      </c>
      <c r="BX25" s="7">
        <v>2</v>
      </c>
      <c r="BY25" s="9" t="str">
        <f t="shared" ref="BY25:BY29" si="94">IF(ISBLANK($G25)=TRUE,"",IF(SIGN(BV25-BX25)=SIGN($G25-$I25),1,0)+IF(BV25=$G25,IF(BX25=$I25,2,0),0))</f>
        <v/>
      </c>
      <c r="BZ25" s="3">
        <v>0</v>
      </c>
      <c r="CA25" s="1" t="s">
        <v>1</v>
      </c>
      <c r="CB25" s="7">
        <v>1</v>
      </c>
      <c r="CC25" s="9" t="str">
        <f t="shared" ref="CC25:CC29" si="95">IF(ISBLANK($G25)=TRUE,"",IF(SIGN(BZ25-CB25)=SIGN($G25-$I25),1,0)+IF(BZ25=$G25,IF(CB25=$I25,2,0),0))</f>
        <v/>
      </c>
      <c r="CD25" s="3">
        <v>1</v>
      </c>
      <c r="CE25" s="1" t="s">
        <v>1</v>
      </c>
      <c r="CF25" s="7">
        <v>1</v>
      </c>
      <c r="CG25" s="9" t="str">
        <f t="shared" ref="CG25:CG29" si="96">IF(ISBLANK($G25)=TRUE,"",IF(SIGN(CD25-CF25)=SIGN($G25-$I25),1,0)+IF(CD25=$G25,IF(CF25=$I25,2,0),0))</f>
        <v/>
      </c>
      <c r="CH25" s="3">
        <v>1</v>
      </c>
      <c r="CI25" s="1" t="s">
        <v>1</v>
      </c>
      <c r="CJ25" s="7">
        <v>2</v>
      </c>
      <c r="CK25" s="9" t="str">
        <f t="shared" ref="CK25:CK29" si="97">IF(ISBLANK($G25)=TRUE,"",IF(SIGN(CH25-CJ25)=SIGN($G25-$I25),1,0)+IF(CH25=$G25,IF(CJ25=$I25,2,0),0))</f>
        <v/>
      </c>
      <c r="CL25" s="3">
        <v>1</v>
      </c>
      <c r="CM25" s="1" t="s">
        <v>1</v>
      </c>
      <c r="CN25" s="7">
        <v>1</v>
      </c>
      <c r="CO25" s="9" t="str">
        <f t="shared" ref="CO25:CO29" si="98">IF(ISBLANK($G25)=TRUE,"",IF(SIGN(CL25-CN25)=SIGN($G25-$I25),1,0)+IF(CL25=$G25,IF(CN25=$I25,2,0),0))</f>
        <v/>
      </c>
      <c r="CP25" s="3">
        <v>1</v>
      </c>
      <c r="CQ25" s="1" t="s">
        <v>1</v>
      </c>
      <c r="CR25" s="7">
        <v>3</v>
      </c>
      <c r="CS25" s="9" t="str">
        <f t="shared" ref="CS25:CS29" si="99">IF(ISBLANK($G25)=TRUE,"",IF(SIGN(CP25-CR25)=SIGN($G25-$I25),1,0)+IF(CP25=$G25,IF(CR25=$I25,2,0),0))</f>
        <v/>
      </c>
      <c r="CT25" s="3">
        <v>1</v>
      </c>
      <c r="CU25" s="1" t="s">
        <v>1</v>
      </c>
      <c r="CV25" s="7">
        <v>1</v>
      </c>
      <c r="CW25" s="9" t="str">
        <f t="shared" ref="CW25:CW29" si="100">IF(ISBLANK($G25)=TRUE,"",IF(SIGN(CT25-CV25)=SIGN($G25-$I25),1,0)+IF(CT25=$G25,IF(CV25=$I25,2,0),0))</f>
        <v/>
      </c>
      <c r="CX25" s="3">
        <v>1</v>
      </c>
      <c r="CY25" s="1" t="s">
        <v>1</v>
      </c>
      <c r="CZ25" s="7">
        <v>2</v>
      </c>
      <c r="DA25" s="9" t="str">
        <f t="shared" ref="DA25:DA29" si="101">IF(ISBLANK($G25)=TRUE,"",IF(SIGN(CX25-CZ25)=SIGN($G25-$I25),1,0)+IF(CX25=$G25,IF(CZ25=$I25,2,0),0))</f>
        <v/>
      </c>
      <c r="DB25" s="3">
        <v>0</v>
      </c>
      <c r="DC25" s="1" t="s">
        <v>1</v>
      </c>
      <c r="DD25" s="7">
        <v>4</v>
      </c>
      <c r="DE25" s="9" t="str">
        <f t="shared" ref="DE25:DE29" si="102">IF(ISBLANK($G25)=TRUE,"",IF(SIGN(DB25-DD25)=SIGN($G25-$I25),1,0)+IF(DB25=$G25,IF(DD25=$I25,2,0),0))</f>
        <v/>
      </c>
      <c r="DF25" s="3">
        <v>0</v>
      </c>
      <c r="DG25" s="1" t="s">
        <v>1</v>
      </c>
      <c r="DH25" s="7">
        <v>2</v>
      </c>
      <c r="DI25" s="9" t="str">
        <f t="shared" ref="DI25:DI29" si="103">IF(ISBLANK($G25)=TRUE,"",IF(SIGN(DF25-DH25)=SIGN($G25-$I25),1,0)+IF(DF25=$G25,IF(DH25=$I25,2,0),0))</f>
        <v/>
      </c>
    </row>
    <row r="26" spans="2:113" x14ac:dyDescent="0.3">
      <c r="B26" s="12">
        <v>46192</v>
      </c>
      <c r="C26" s="7" t="s">
        <v>63</v>
      </c>
      <c r="D26" s="3" t="s">
        <v>23</v>
      </c>
      <c r="E26" s="1" t="s">
        <v>1</v>
      </c>
      <c r="F26" s="5" t="s">
        <v>25</v>
      </c>
      <c r="G26" s="3"/>
      <c r="H26" s="1" t="s">
        <v>1</v>
      </c>
      <c r="I26" s="5"/>
      <c r="J26" s="3">
        <v>2</v>
      </c>
      <c r="K26" s="1" t="s">
        <v>1</v>
      </c>
      <c r="L26" s="7">
        <v>0</v>
      </c>
      <c r="M26" s="9" t="str">
        <f t="shared" si="78"/>
        <v/>
      </c>
      <c r="N26" s="3">
        <v>1</v>
      </c>
      <c r="O26" s="1" t="s">
        <v>1</v>
      </c>
      <c r="P26" s="7">
        <v>0</v>
      </c>
      <c r="Q26" s="9" t="str">
        <f t="shared" si="79"/>
        <v/>
      </c>
      <c r="R26" s="3">
        <v>2</v>
      </c>
      <c r="S26" s="1" t="s">
        <v>1</v>
      </c>
      <c r="T26" s="7">
        <v>0</v>
      </c>
      <c r="U26" s="9" t="str">
        <f t="shared" si="80"/>
        <v/>
      </c>
      <c r="V26" s="3">
        <v>2</v>
      </c>
      <c r="W26" s="1" t="s">
        <v>1</v>
      </c>
      <c r="X26" s="7">
        <v>1</v>
      </c>
      <c r="Y26" s="9" t="str">
        <f t="shared" si="81"/>
        <v/>
      </c>
      <c r="Z26" s="3">
        <v>1</v>
      </c>
      <c r="AA26" s="1" t="s">
        <v>1</v>
      </c>
      <c r="AB26" s="7">
        <v>0</v>
      </c>
      <c r="AC26" s="9" t="str">
        <f t="shared" si="82"/>
        <v/>
      </c>
      <c r="AD26" s="3">
        <v>2</v>
      </c>
      <c r="AE26" s="1" t="s">
        <v>1</v>
      </c>
      <c r="AF26" s="7">
        <v>2</v>
      </c>
      <c r="AG26" s="9" t="str">
        <f t="shared" si="83"/>
        <v/>
      </c>
      <c r="AH26" s="3">
        <v>1</v>
      </c>
      <c r="AI26" s="1" t="s">
        <v>1</v>
      </c>
      <c r="AJ26" s="7">
        <v>1</v>
      </c>
      <c r="AK26" s="9" t="str">
        <f t="shared" si="84"/>
        <v/>
      </c>
      <c r="AL26" s="3">
        <v>1</v>
      </c>
      <c r="AM26" s="1" t="s">
        <v>1</v>
      </c>
      <c r="AN26" s="7">
        <v>0</v>
      </c>
      <c r="AO26" s="9" t="str">
        <f t="shared" si="85"/>
        <v/>
      </c>
      <c r="AP26" s="3">
        <v>1</v>
      </c>
      <c r="AQ26" s="1" t="s">
        <v>1</v>
      </c>
      <c r="AR26" s="7">
        <v>1</v>
      </c>
      <c r="AS26" s="9" t="str">
        <f t="shared" si="86"/>
        <v/>
      </c>
      <c r="AT26" s="3">
        <v>2</v>
      </c>
      <c r="AU26" s="1" t="s">
        <v>1</v>
      </c>
      <c r="AV26" s="7">
        <v>2</v>
      </c>
      <c r="AW26" s="9" t="str">
        <f t="shared" si="87"/>
        <v/>
      </c>
      <c r="AX26" s="3">
        <v>0</v>
      </c>
      <c r="AY26" s="1" t="s">
        <v>1</v>
      </c>
      <c r="AZ26" s="7">
        <v>2</v>
      </c>
      <c r="BA26" s="9" t="str">
        <f t="shared" si="88"/>
        <v/>
      </c>
      <c r="BB26" s="3">
        <v>1</v>
      </c>
      <c r="BC26" s="1" t="s">
        <v>1</v>
      </c>
      <c r="BD26" s="7">
        <v>1</v>
      </c>
      <c r="BE26" s="9" t="str">
        <f t="shared" si="89"/>
        <v/>
      </c>
      <c r="BF26" s="3">
        <v>2</v>
      </c>
      <c r="BG26" s="1" t="s">
        <v>1</v>
      </c>
      <c r="BH26" s="7">
        <v>1</v>
      </c>
      <c r="BI26" s="9" t="str">
        <f t="shared" si="90"/>
        <v/>
      </c>
      <c r="BJ26" s="3">
        <v>1</v>
      </c>
      <c r="BK26" s="1" t="s">
        <v>1</v>
      </c>
      <c r="BL26" s="7">
        <v>0</v>
      </c>
      <c r="BM26" s="9" t="str">
        <f t="shared" si="91"/>
        <v/>
      </c>
      <c r="BN26" s="3">
        <v>2</v>
      </c>
      <c r="BO26" s="1" t="s">
        <v>1</v>
      </c>
      <c r="BP26" s="7">
        <v>0</v>
      </c>
      <c r="BQ26" s="9" t="str">
        <f t="shared" si="92"/>
        <v/>
      </c>
      <c r="BR26" s="3">
        <v>1</v>
      </c>
      <c r="BS26" s="1" t="s">
        <v>1</v>
      </c>
      <c r="BT26" s="7">
        <v>0</v>
      </c>
      <c r="BU26" s="9" t="str">
        <f t="shared" si="93"/>
        <v/>
      </c>
      <c r="BV26" s="3">
        <v>2</v>
      </c>
      <c r="BW26" s="1" t="s">
        <v>1</v>
      </c>
      <c r="BX26" s="7">
        <v>0</v>
      </c>
      <c r="BY26" s="9" t="str">
        <f t="shared" si="94"/>
        <v/>
      </c>
      <c r="BZ26" s="3">
        <v>2</v>
      </c>
      <c r="CA26" s="1" t="s">
        <v>1</v>
      </c>
      <c r="CB26" s="7">
        <v>0</v>
      </c>
      <c r="CC26" s="9" t="str">
        <f t="shared" si="95"/>
        <v/>
      </c>
      <c r="CD26" s="3">
        <v>2</v>
      </c>
      <c r="CE26" s="1" t="s">
        <v>1</v>
      </c>
      <c r="CF26" s="7">
        <v>0</v>
      </c>
      <c r="CG26" s="9" t="str">
        <f t="shared" si="96"/>
        <v/>
      </c>
      <c r="CH26" s="3">
        <v>2</v>
      </c>
      <c r="CI26" s="1" t="s">
        <v>1</v>
      </c>
      <c r="CJ26" s="7">
        <v>1</v>
      </c>
      <c r="CK26" s="9" t="str">
        <f t="shared" si="97"/>
        <v/>
      </c>
      <c r="CL26" s="3">
        <v>2</v>
      </c>
      <c r="CM26" s="1" t="s">
        <v>1</v>
      </c>
      <c r="CN26" s="7">
        <v>1</v>
      </c>
      <c r="CO26" s="9" t="str">
        <f t="shared" si="98"/>
        <v/>
      </c>
      <c r="CP26" s="3">
        <v>2</v>
      </c>
      <c r="CQ26" s="1" t="s">
        <v>1</v>
      </c>
      <c r="CR26" s="7">
        <v>0</v>
      </c>
      <c r="CS26" s="9" t="str">
        <f t="shared" si="99"/>
        <v/>
      </c>
      <c r="CT26" s="3">
        <v>2</v>
      </c>
      <c r="CU26" s="1" t="s">
        <v>1</v>
      </c>
      <c r="CV26" s="7">
        <v>1</v>
      </c>
      <c r="CW26" s="9" t="str">
        <f t="shared" si="100"/>
        <v/>
      </c>
      <c r="CX26" s="3">
        <v>2</v>
      </c>
      <c r="CY26" s="1" t="s">
        <v>1</v>
      </c>
      <c r="CZ26" s="7">
        <v>1</v>
      </c>
      <c r="DA26" s="9" t="str">
        <f t="shared" si="101"/>
        <v/>
      </c>
      <c r="DB26" s="3">
        <v>3</v>
      </c>
      <c r="DC26" s="1" t="s">
        <v>1</v>
      </c>
      <c r="DD26" s="7">
        <v>0</v>
      </c>
      <c r="DE26" s="9" t="str">
        <f t="shared" si="102"/>
        <v/>
      </c>
      <c r="DF26" s="3">
        <v>2</v>
      </c>
      <c r="DG26" s="1" t="s">
        <v>1</v>
      </c>
      <c r="DH26" s="7">
        <v>1</v>
      </c>
      <c r="DI26" s="9" t="str">
        <f t="shared" si="103"/>
        <v/>
      </c>
    </row>
    <row r="27" spans="2:113" x14ac:dyDescent="0.3">
      <c r="B27" s="12">
        <v>46193</v>
      </c>
      <c r="C27" s="7" t="s">
        <v>70</v>
      </c>
      <c r="D27" s="3" t="s">
        <v>26</v>
      </c>
      <c r="E27" s="1" t="s">
        <v>1</v>
      </c>
      <c r="F27" s="5" t="s">
        <v>24</v>
      </c>
      <c r="G27" s="3"/>
      <c r="H27" s="1" t="s">
        <v>1</v>
      </c>
      <c r="I27" s="5"/>
      <c r="J27" s="3">
        <v>2</v>
      </c>
      <c r="K27" s="1" t="s">
        <v>1</v>
      </c>
      <c r="L27" s="7">
        <v>0</v>
      </c>
      <c r="M27" s="9" t="str">
        <f t="shared" si="78"/>
        <v/>
      </c>
      <c r="N27" s="3">
        <v>1</v>
      </c>
      <c r="O27" s="1" t="s">
        <v>1</v>
      </c>
      <c r="P27" s="7">
        <v>1</v>
      </c>
      <c r="Q27" s="9" t="str">
        <f t="shared" si="79"/>
        <v/>
      </c>
      <c r="R27" s="3">
        <v>1</v>
      </c>
      <c r="S27" s="1" t="s">
        <v>1</v>
      </c>
      <c r="T27" s="7">
        <v>2</v>
      </c>
      <c r="U27" s="9" t="str">
        <f t="shared" si="80"/>
        <v/>
      </c>
      <c r="V27" s="3">
        <v>2</v>
      </c>
      <c r="W27" s="1" t="s">
        <v>1</v>
      </c>
      <c r="X27" s="7">
        <v>1</v>
      </c>
      <c r="Y27" s="9" t="str">
        <f t="shared" si="81"/>
        <v/>
      </c>
      <c r="Z27" s="3">
        <v>2</v>
      </c>
      <c r="AA27" s="1" t="s">
        <v>1</v>
      </c>
      <c r="AB27" s="7">
        <v>0</v>
      </c>
      <c r="AC27" s="9" t="str">
        <f t="shared" si="82"/>
        <v/>
      </c>
      <c r="AD27" s="3">
        <v>3</v>
      </c>
      <c r="AE27" s="1" t="s">
        <v>1</v>
      </c>
      <c r="AF27" s="7">
        <v>1</v>
      </c>
      <c r="AG27" s="9" t="str">
        <f t="shared" si="83"/>
        <v/>
      </c>
      <c r="AH27" s="3">
        <v>1</v>
      </c>
      <c r="AI27" s="1" t="s">
        <v>1</v>
      </c>
      <c r="AJ27" s="7">
        <v>0</v>
      </c>
      <c r="AK27" s="9" t="str">
        <f t="shared" si="84"/>
        <v/>
      </c>
      <c r="AL27" s="3">
        <v>1</v>
      </c>
      <c r="AM27" s="1" t="s">
        <v>1</v>
      </c>
      <c r="AN27" s="7">
        <v>0</v>
      </c>
      <c r="AO27" s="9" t="str">
        <f t="shared" si="85"/>
        <v/>
      </c>
      <c r="AP27" s="3">
        <v>1</v>
      </c>
      <c r="AQ27" s="1" t="s">
        <v>1</v>
      </c>
      <c r="AR27" s="7">
        <v>2</v>
      </c>
      <c r="AS27" s="9" t="str">
        <f t="shared" si="86"/>
        <v/>
      </c>
      <c r="AT27" s="3">
        <v>1</v>
      </c>
      <c r="AU27" s="1" t="s">
        <v>1</v>
      </c>
      <c r="AV27" s="7">
        <v>0</v>
      </c>
      <c r="AW27" s="9" t="str">
        <f t="shared" si="87"/>
        <v/>
      </c>
      <c r="AX27" s="3">
        <v>2</v>
      </c>
      <c r="AY27" s="1" t="s">
        <v>1</v>
      </c>
      <c r="AZ27" s="7">
        <v>1</v>
      </c>
      <c r="BA27" s="9" t="str">
        <f t="shared" si="88"/>
        <v/>
      </c>
      <c r="BB27" s="3">
        <v>1</v>
      </c>
      <c r="BC27" s="1" t="s">
        <v>1</v>
      </c>
      <c r="BD27" s="7">
        <v>1</v>
      </c>
      <c r="BE27" s="9" t="str">
        <f t="shared" si="89"/>
        <v/>
      </c>
      <c r="BF27" s="3">
        <v>1</v>
      </c>
      <c r="BG27" s="1" t="s">
        <v>1</v>
      </c>
      <c r="BH27" s="7">
        <v>2</v>
      </c>
      <c r="BI27" s="9" t="str">
        <f t="shared" si="90"/>
        <v/>
      </c>
      <c r="BJ27" s="3">
        <v>2</v>
      </c>
      <c r="BK27" s="1" t="s">
        <v>1</v>
      </c>
      <c r="BL27" s="7">
        <v>1</v>
      </c>
      <c r="BM27" s="9" t="str">
        <f t="shared" si="91"/>
        <v/>
      </c>
      <c r="BN27" s="3">
        <v>1</v>
      </c>
      <c r="BO27" s="1" t="s">
        <v>1</v>
      </c>
      <c r="BP27" s="7">
        <v>1</v>
      </c>
      <c r="BQ27" s="9" t="str">
        <f t="shared" si="92"/>
        <v/>
      </c>
      <c r="BR27" s="3">
        <v>1</v>
      </c>
      <c r="BS27" s="1" t="s">
        <v>1</v>
      </c>
      <c r="BT27" s="7">
        <v>2</v>
      </c>
      <c r="BU27" s="9" t="str">
        <f t="shared" si="93"/>
        <v/>
      </c>
      <c r="BV27" s="3">
        <v>3</v>
      </c>
      <c r="BW27" s="1" t="s">
        <v>1</v>
      </c>
      <c r="BX27" s="7">
        <v>1</v>
      </c>
      <c r="BY27" s="9" t="str">
        <f t="shared" si="94"/>
        <v/>
      </c>
      <c r="BZ27" s="3">
        <v>2</v>
      </c>
      <c r="CA27" s="1" t="s">
        <v>1</v>
      </c>
      <c r="CB27" s="7">
        <v>2</v>
      </c>
      <c r="CC27" s="9" t="str">
        <f t="shared" si="95"/>
        <v/>
      </c>
      <c r="CD27" s="3">
        <v>1</v>
      </c>
      <c r="CE27" s="1" t="s">
        <v>1</v>
      </c>
      <c r="CF27" s="7">
        <v>0</v>
      </c>
      <c r="CG27" s="9" t="str">
        <f t="shared" si="96"/>
        <v/>
      </c>
      <c r="CH27" s="3">
        <v>3</v>
      </c>
      <c r="CI27" s="1" t="s">
        <v>1</v>
      </c>
      <c r="CJ27" s="7">
        <v>0</v>
      </c>
      <c r="CK27" s="9" t="str">
        <f t="shared" si="97"/>
        <v/>
      </c>
      <c r="CL27" s="3">
        <v>1</v>
      </c>
      <c r="CM27" s="1" t="s">
        <v>1</v>
      </c>
      <c r="CN27" s="7">
        <v>2</v>
      </c>
      <c r="CO27" s="9" t="str">
        <f t="shared" si="98"/>
        <v/>
      </c>
      <c r="CP27" s="3">
        <v>2</v>
      </c>
      <c r="CQ27" s="1" t="s">
        <v>1</v>
      </c>
      <c r="CR27" s="7">
        <v>1</v>
      </c>
      <c r="CS27" s="9" t="str">
        <f t="shared" si="99"/>
        <v/>
      </c>
      <c r="CT27" s="3">
        <v>1</v>
      </c>
      <c r="CU27" s="1" t="s">
        <v>1</v>
      </c>
      <c r="CV27" s="7">
        <v>1</v>
      </c>
      <c r="CW27" s="9" t="str">
        <f t="shared" si="100"/>
        <v/>
      </c>
      <c r="CX27" s="3">
        <v>2</v>
      </c>
      <c r="CY27" s="1" t="s">
        <v>1</v>
      </c>
      <c r="CZ27" s="7">
        <v>2</v>
      </c>
      <c r="DA27" s="9" t="str">
        <f t="shared" si="101"/>
        <v/>
      </c>
      <c r="DB27" s="3">
        <v>2</v>
      </c>
      <c r="DC27" s="1" t="s">
        <v>1</v>
      </c>
      <c r="DD27" s="7">
        <v>1</v>
      </c>
      <c r="DE27" s="9" t="str">
        <f t="shared" si="102"/>
        <v/>
      </c>
      <c r="DF27" s="3">
        <v>2</v>
      </c>
      <c r="DG27" s="1" t="s">
        <v>1</v>
      </c>
      <c r="DH27" s="7">
        <v>1</v>
      </c>
      <c r="DI27" s="9" t="str">
        <f t="shared" si="103"/>
        <v/>
      </c>
    </row>
    <row r="28" spans="2:113" x14ac:dyDescent="0.3">
      <c r="B28" s="12">
        <v>46199</v>
      </c>
      <c r="C28" s="7" t="s">
        <v>64</v>
      </c>
      <c r="D28" s="3" t="s">
        <v>26</v>
      </c>
      <c r="E28" s="1" t="s">
        <v>1</v>
      </c>
      <c r="F28" s="5" t="s">
        <v>23</v>
      </c>
      <c r="G28" s="3"/>
      <c r="H28" s="1" t="s">
        <v>1</v>
      </c>
      <c r="I28" s="5"/>
      <c r="J28" s="3">
        <v>1</v>
      </c>
      <c r="K28" s="1" t="s">
        <v>1</v>
      </c>
      <c r="L28" s="7">
        <v>1</v>
      </c>
      <c r="M28" s="9" t="str">
        <f t="shared" si="78"/>
        <v/>
      </c>
      <c r="N28" s="3">
        <v>1</v>
      </c>
      <c r="O28" s="1" t="s">
        <v>1</v>
      </c>
      <c r="P28" s="7">
        <v>0</v>
      </c>
      <c r="Q28" s="9" t="str">
        <f t="shared" si="79"/>
        <v/>
      </c>
      <c r="R28" s="3">
        <v>2</v>
      </c>
      <c r="S28" s="1" t="s">
        <v>1</v>
      </c>
      <c r="T28" s="7">
        <v>2</v>
      </c>
      <c r="U28" s="9" t="str">
        <f t="shared" si="80"/>
        <v/>
      </c>
      <c r="V28" s="3">
        <v>1</v>
      </c>
      <c r="W28" s="1" t="s">
        <v>1</v>
      </c>
      <c r="X28" s="7">
        <v>2</v>
      </c>
      <c r="Y28" s="9" t="str">
        <f t="shared" si="81"/>
        <v/>
      </c>
      <c r="Z28" s="3">
        <v>1</v>
      </c>
      <c r="AA28" s="1" t="s">
        <v>1</v>
      </c>
      <c r="AB28" s="7">
        <v>1</v>
      </c>
      <c r="AC28" s="9" t="str">
        <f t="shared" si="82"/>
        <v/>
      </c>
      <c r="AD28" s="3">
        <v>2</v>
      </c>
      <c r="AE28" s="1" t="s">
        <v>1</v>
      </c>
      <c r="AF28" s="7">
        <v>3</v>
      </c>
      <c r="AG28" s="9" t="str">
        <f t="shared" si="83"/>
        <v/>
      </c>
      <c r="AH28" s="3">
        <v>1</v>
      </c>
      <c r="AI28" s="1" t="s">
        <v>1</v>
      </c>
      <c r="AJ28" s="7">
        <v>1</v>
      </c>
      <c r="AK28" s="9" t="str">
        <f t="shared" si="84"/>
        <v/>
      </c>
      <c r="AL28" s="3">
        <v>0</v>
      </c>
      <c r="AM28" s="1" t="s">
        <v>1</v>
      </c>
      <c r="AN28" s="7">
        <v>0</v>
      </c>
      <c r="AO28" s="9" t="str">
        <f t="shared" si="85"/>
        <v/>
      </c>
      <c r="AP28" s="3">
        <v>0</v>
      </c>
      <c r="AQ28" s="1" t="s">
        <v>1</v>
      </c>
      <c r="AR28" s="7">
        <v>0</v>
      </c>
      <c r="AS28" s="9" t="str">
        <f t="shared" si="86"/>
        <v/>
      </c>
      <c r="AT28" s="3">
        <v>1</v>
      </c>
      <c r="AU28" s="1" t="s">
        <v>1</v>
      </c>
      <c r="AV28" s="7">
        <v>1</v>
      </c>
      <c r="AW28" s="9" t="str">
        <f t="shared" si="87"/>
        <v/>
      </c>
      <c r="AX28" s="3">
        <v>2</v>
      </c>
      <c r="AY28" s="1" t="s">
        <v>1</v>
      </c>
      <c r="AZ28" s="7">
        <v>0</v>
      </c>
      <c r="BA28" s="9" t="str">
        <f t="shared" si="88"/>
        <v/>
      </c>
      <c r="BB28" s="3">
        <v>1</v>
      </c>
      <c r="BC28" s="1" t="s">
        <v>1</v>
      </c>
      <c r="BD28" s="7">
        <v>1</v>
      </c>
      <c r="BE28" s="9" t="str">
        <f t="shared" si="89"/>
        <v/>
      </c>
      <c r="BF28" s="3">
        <v>1</v>
      </c>
      <c r="BG28" s="1" t="s">
        <v>1</v>
      </c>
      <c r="BH28" s="7">
        <v>2</v>
      </c>
      <c r="BI28" s="9" t="str">
        <f t="shared" si="90"/>
        <v/>
      </c>
      <c r="BJ28" s="3">
        <v>2</v>
      </c>
      <c r="BK28" s="1" t="s">
        <v>1</v>
      </c>
      <c r="BL28" s="7">
        <v>1</v>
      </c>
      <c r="BM28" s="9" t="str">
        <f t="shared" si="91"/>
        <v/>
      </c>
      <c r="BN28" s="3">
        <v>1</v>
      </c>
      <c r="BO28" s="1" t="s">
        <v>1</v>
      </c>
      <c r="BP28" s="7">
        <v>1</v>
      </c>
      <c r="BQ28" s="9" t="str">
        <f t="shared" si="92"/>
        <v/>
      </c>
      <c r="BR28" s="3">
        <v>1</v>
      </c>
      <c r="BS28" s="1" t="s">
        <v>1</v>
      </c>
      <c r="BT28" s="7">
        <v>1</v>
      </c>
      <c r="BU28" s="9" t="str">
        <f t="shared" si="93"/>
        <v/>
      </c>
      <c r="BV28" s="3">
        <v>1</v>
      </c>
      <c r="BW28" s="1" t="s">
        <v>1</v>
      </c>
      <c r="BX28" s="7">
        <v>1</v>
      </c>
      <c r="BY28" s="9" t="str">
        <f t="shared" si="94"/>
        <v/>
      </c>
      <c r="BZ28" s="3">
        <v>3</v>
      </c>
      <c r="CA28" s="1" t="s">
        <v>1</v>
      </c>
      <c r="CB28" s="7">
        <v>1</v>
      </c>
      <c r="CC28" s="9" t="str">
        <f t="shared" si="95"/>
        <v/>
      </c>
      <c r="CD28" s="3">
        <v>0</v>
      </c>
      <c r="CE28" s="1" t="s">
        <v>1</v>
      </c>
      <c r="CF28" s="7">
        <v>2</v>
      </c>
      <c r="CG28" s="9" t="str">
        <f t="shared" si="96"/>
        <v/>
      </c>
      <c r="CH28" s="3">
        <v>2</v>
      </c>
      <c r="CI28" s="1" t="s">
        <v>1</v>
      </c>
      <c r="CJ28" s="7">
        <v>1</v>
      </c>
      <c r="CK28" s="9" t="str">
        <f t="shared" si="97"/>
        <v/>
      </c>
      <c r="CL28" s="3">
        <v>1</v>
      </c>
      <c r="CM28" s="1" t="s">
        <v>1</v>
      </c>
      <c r="CN28" s="7">
        <v>0</v>
      </c>
      <c r="CO28" s="9" t="str">
        <f t="shared" si="98"/>
        <v/>
      </c>
      <c r="CP28" s="3">
        <v>2</v>
      </c>
      <c r="CQ28" s="1" t="s">
        <v>1</v>
      </c>
      <c r="CR28" s="7">
        <v>2</v>
      </c>
      <c r="CS28" s="9" t="str">
        <f t="shared" si="99"/>
        <v/>
      </c>
      <c r="CT28" s="3">
        <v>1</v>
      </c>
      <c r="CU28" s="1" t="s">
        <v>1</v>
      </c>
      <c r="CV28" s="7">
        <v>1</v>
      </c>
      <c r="CW28" s="9" t="str">
        <f t="shared" si="100"/>
        <v/>
      </c>
      <c r="CX28" s="3">
        <v>1</v>
      </c>
      <c r="CY28" s="1" t="s">
        <v>1</v>
      </c>
      <c r="CZ28" s="7">
        <v>1</v>
      </c>
      <c r="DA28" s="9" t="str">
        <f t="shared" si="101"/>
        <v/>
      </c>
      <c r="DB28" s="3">
        <v>1</v>
      </c>
      <c r="DC28" s="1" t="s">
        <v>1</v>
      </c>
      <c r="DD28" s="7">
        <v>1</v>
      </c>
      <c r="DE28" s="9" t="str">
        <f t="shared" si="102"/>
        <v/>
      </c>
      <c r="DF28" s="3">
        <v>2</v>
      </c>
      <c r="DG28" s="1" t="s">
        <v>1</v>
      </c>
      <c r="DH28" s="7">
        <v>1</v>
      </c>
      <c r="DI28" s="9" t="str">
        <f t="shared" si="103"/>
        <v/>
      </c>
    </row>
    <row r="29" spans="2:113" ht="15" thickBot="1" x14ac:dyDescent="0.35">
      <c r="B29" s="13">
        <v>46199</v>
      </c>
      <c r="C29" s="8" t="s">
        <v>64</v>
      </c>
      <c r="D29" s="4" t="s">
        <v>24</v>
      </c>
      <c r="E29" s="2" t="s">
        <v>1</v>
      </c>
      <c r="F29" s="6" t="s">
        <v>25</v>
      </c>
      <c r="G29" s="4"/>
      <c r="H29" s="2" t="s">
        <v>1</v>
      </c>
      <c r="I29" s="6"/>
      <c r="J29" s="4">
        <v>1</v>
      </c>
      <c r="K29" s="2" t="s">
        <v>1</v>
      </c>
      <c r="L29" s="8">
        <v>1</v>
      </c>
      <c r="M29" s="10" t="str">
        <f t="shared" si="78"/>
        <v/>
      </c>
      <c r="N29" s="4">
        <v>1</v>
      </c>
      <c r="O29" s="2" t="s">
        <v>1</v>
      </c>
      <c r="P29" s="8">
        <v>0</v>
      </c>
      <c r="Q29" s="10" t="str">
        <f t="shared" si="79"/>
        <v/>
      </c>
      <c r="R29" s="4">
        <v>2</v>
      </c>
      <c r="S29" s="2" t="s">
        <v>1</v>
      </c>
      <c r="T29" s="8">
        <v>0</v>
      </c>
      <c r="U29" s="10" t="str">
        <f t="shared" si="80"/>
        <v/>
      </c>
      <c r="V29" s="4">
        <v>2</v>
      </c>
      <c r="W29" s="2" t="s">
        <v>1</v>
      </c>
      <c r="X29" s="8">
        <v>2</v>
      </c>
      <c r="Y29" s="10" t="str">
        <f t="shared" si="81"/>
        <v/>
      </c>
      <c r="Z29" s="4">
        <v>1</v>
      </c>
      <c r="AA29" s="2" t="s">
        <v>1</v>
      </c>
      <c r="AB29" s="8">
        <v>1</v>
      </c>
      <c r="AC29" s="10" t="str">
        <f t="shared" si="82"/>
        <v/>
      </c>
      <c r="AD29" s="4">
        <v>0</v>
      </c>
      <c r="AE29" s="2" t="s">
        <v>1</v>
      </c>
      <c r="AF29" s="8">
        <v>2</v>
      </c>
      <c r="AG29" s="10" t="str">
        <f t="shared" si="83"/>
        <v/>
      </c>
      <c r="AH29" s="4">
        <v>0</v>
      </c>
      <c r="AI29" s="2" t="s">
        <v>1</v>
      </c>
      <c r="AJ29" s="8">
        <v>1</v>
      </c>
      <c r="AK29" s="10" t="str">
        <f t="shared" si="84"/>
        <v/>
      </c>
      <c r="AL29" s="4">
        <v>0</v>
      </c>
      <c r="AM29" s="2" t="s">
        <v>1</v>
      </c>
      <c r="AN29" s="8">
        <v>0</v>
      </c>
      <c r="AO29" s="10" t="str">
        <f t="shared" si="85"/>
        <v/>
      </c>
      <c r="AP29" s="4">
        <v>1</v>
      </c>
      <c r="AQ29" s="2" t="s">
        <v>1</v>
      </c>
      <c r="AR29" s="8">
        <v>0</v>
      </c>
      <c r="AS29" s="10" t="str">
        <f t="shared" si="86"/>
        <v/>
      </c>
      <c r="AT29" s="4">
        <v>0</v>
      </c>
      <c r="AU29" s="2" t="s">
        <v>1</v>
      </c>
      <c r="AV29" s="8">
        <v>1</v>
      </c>
      <c r="AW29" s="10" t="str">
        <f t="shared" si="87"/>
        <v/>
      </c>
      <c r="AX29" s="4">
        <v>2</v>
      </c>
      <c r="AY29" s="2" t="s">
        <v>1</v>
      </c>
      <c r="AZ29" s="8">
        <v>1</v>
      </c>
      <c r="BA29" s="10" t="str">
        <f t="shared" si="88"/>
        <v/>
      </c>
      <c r="BB29" s="4">
        <v>1</v>
      </c>
      <c r="BC29" s="2" t="s">
        <v>1</v>
      </c>
      <c r="BD29" s="8">
        <v>1</v>
      </c>
      <c r="BE29" s="10" t="str">
        <f t="shared" si="89"/>
        <v/>
      </c>
      <c r="BF29" s="4">
        <v>1</v>
      </c>
      <c r="BG29" s="2" t="s">
        <v>1</v>
      </c>
      <c r="BH29" s="8">
        <v>1</v>
      </c>
      <c r="BI29" s="10" t="str">
        <f t="shared" si="90"/>
        <v/>
      </c>
      <c r="BJ29" s="4">
        <v>2</v>
      </c>
      <c r="BK29" s="2" t="s">
        <v>1</v>
      </c>
      <c r="BL29" s="8">
        <v>0</v>
      </c>
      <c r="BM29" s="10" t="str">
        <f t="shared" si="91"/>
        <v/>
      </c>
      <c r="BN29" s="4">
        <v>1</v>
      </c>
      <c r="BO29" s="2" t="s">
        <v>1</v>
      </c>
      <c r="BP29" s="8">
        <v>1</v>
      </c>
      <c r="BQ29" s="10" t="str">
        <f t="shared" si="92"/>
        <v/>
      </c>
      <c r="BR29" s="4">
        <v>1</v>
      </c>
      <c r="BS29" s="2" t="s">
        <v>1</v>
      </c>
      <c r="BT29" s="8">
        <v>1</v>
      </c>
      <c r="BU29" s="10" t="str">
        <f t="shared" si="93"/>
        <v/>
      </c>
      <c r="BV29" s="4">
        <v>1</v>
      </c>
      <c r="BW29" s="2" t="s">
        <v>1</v>
      </c>
      <c r="BX29" s="8">
        <v>1</v>
      </c>
      <c r="BY29" s="10" t="str">
        <f t="shared" si="94"/>
        <v/>
      </c>
      <c r="BZ29" s="4">
        <v>3</v>
      </c>
      <c r="CA29" s="2" t="s">
        <v>1</v>
      </c>
      <c r="CB29" s="8">
        <v>1</v>
      </c>
      <c r="CC29" s="10" t="str">
        <f t="shared" si="95"/>
        <v/>
      </c>
      <c r="CD29" s="4">
        <v>1</v>
      </c>
      <c r="CE29" s="2" t="s">
        <v>1</v>
      </c>
      <c r="CF29" s="8">
        <v>1</v>
      </c>
      <c r="CG29" s="10" t="str">
        <f t="shared" si="96"/>
        <v/>
      </c>
      <c r="CH29" s="4">
        <v>1</v>
      </c>
      <c r="CI29" s="2" t="s">
        <v>1</v>
      </c>
      <c r="CJ29" s="8">
        <v>2</v>
      </c>
      <c r="CK29" s="10" t="str">
        <f t="shared" si="97"/>
        <v/>
      </c>
      <c r="CL29" s="4">
        <v>0</v>
      </c>
      <c r="CM29" s="2" t="s">
        <v>1</v>
      </c>
      <c r="CN29" s="8">
        <v>1</v>
      </c>
      <c r="CO29" s="10" t="str">
        <f t="shared" si="98"/>
        <v/>
      </c>
      <c r="CP29" s="4">
        <v>1</v>
      </c>
      <c r="CQ29" s="2" t="s">
        <v>1</v>
      </c>
      <c r="CR29" s="8">
        <v>0</v>
      </c>
      <c r="CS29" s="10" t="str">
        <f t="shared" si="99"/>
        <v/>
      </c>
      <c r="CT29" s="4">
        <v>0</v>
      </c>
      <c r="CU29" s="2" t="s">
        <v>1</v>
      </c>
      <c r="CV29" s="8">
        <v>0</v>
      </c>
      <c r="CW29" s="10" t="str">
        <f t="shared" si="100"/>
        <v/>
      </c>
      <c r="CX29" s="4">
        <v>1</v>
      </c>
      <c r="CY29" s="2" t="s">
        <v>1</v>
      </c>
      <c r="CZ29" s="8">
        <v>0</v>
      </c>
      <c r="DA29" s="10" t="str">
        <f t="shared" si="101"/>
        <v/>
      </c>
      <c r="DB29" s="4">
        <v>2</v>
      </c>
      <c r="DC29" s="2" t="s">
        <v>1</v>
      </c>
      <c r="DD29" s="8">
        <v>0</v>
      </c>
      <c r="DE29" s="10" t="str">
        <f t="shared" si="102"/>
        <v/>
      </c>
      <c r="DF29" s="4">
        <v>0</v>
      </c>
      <c r="DG29" s="2" t="s">
        <v>1</v>
      </c>
      <c r="DH29" s="8">
        <v>0</v>
      </c>
      <c r="DI29" s="10" t="str">
        <f t="shared" si="103"/>
        <v/>
      </c>
    </row>
    <row r="30" spans="2:113" ht="15" thickBot="1" x14ac:dyDescent="0.35">
      <c r="B30" s="51" t="s">
        <v>77</v>
      </c>
      <c r="C30" s="52" t="s">
        <v>78</v>
      </c>
      <c r="D30" s="157" t="s">
        <v>11</v>
      </c>
      <c r="E30" s="158"/>
      <c r="F30" s="159"/>
      <c r="G30" s="53" t="s">
        <v>7</v>
      </c>
      <c r="H30" s="54"/>
      <c r="I30" s="55"/>
      <c r="J30" s="61"/>
      <c r="K30" s="62"/>
      <c r="L30" s="62"/>
      <c r="M30" s="63"/>
      <c r="N30" s="64"/>
      <c r="O30" s="65"/>
      <c r="P30" s="65"/>
      <c r="Q30" s="66"/>
      <c r="R30" s="67"/>
      <c r="S30" s="68"/>
      <c r="T30" s="68"/>
      <c r="U30" s="69"/>
      <c r="V30" s="109"/>
      <c r="W30" s="110"/>
      <c r="X30" s="110"/>
      <c r="Y30" s="111"/>
      <c r="Z30" s="70"/>
      <c r="AA30" s="71"/>
      <c r="AB30" s="71"/>
      <c r="AC30" s="72"/>
      <c r="AD30" s="73"/>
      <c r="AE30" s="74"/>
      <c r="AF30" s="74"/>
      <c r="AG30" s="75"/>
      <c r="AH30" s="76"/>
      <c r="AI30" s="77"/>
      <c r="AJ30" s="77"/>
      <c r="AK30" s="78"/>
      <c r="AL30" s="79"/>
      <c r="AM30" s="80"/>
      <c r="AN30" s="80"/>
      <c r="AO30" s="81"/>
      <c r="AP30" s="41"/>
      <c r="AQ30" s="42"/>
      <c r="AR30" s="42"/>
      <c r="AS30" s="43"/>
      <c r="AT30" s="82"/>
      <c r="AU30" s="83"/>
      <c r="AV30" s="83"/>
      <c r="AW30" s="84"/>
      <c r="AX30" s="85"/>
      <c r="AY30" s="86"/>
      <c r="AZ30" s="86"/>
      <c r="BA30" s="87"/>
      <c r="BB30" s="88"/>
      <c r="BC30" s="89"/>
      <c r="BD30" s="89"/>
      <c r="BE30" s="90"/>
      <c r="BF30" s="91"/>
      <c r="BG30" s="92"/>
      <c r="BH30" s="92"/>
      <c r="BI30" s="93"/>
      <c r="BJ30" s="94"/>
      <c r="BK30" s="95"/>
      <c r="BL30" s="95"/>
      <c r="BM30" s="96"/>
      <c r="BN30" s="34"/>
      <c r="BO30" s="36"/>
      <c r="BP30" s="36"/>
      <c r="BQ30" s="35"/>
      <c r="BR30" s="79"/>
      <c r="BS30" s="80"/>
      <c r="BT30" s="80"/>
      <c r="BU30" s="81"/>
      <c r="BV30" s="97"/>
      <c r="BW30" s="98"/>
      <c r="BX30" s="98"/>
      <c r="BY30" s="99"/>
      <c r="BZ30" s="41"/>
      <c r="CA30" s="42"/>
      <c r="CB30" s="42"/>
      <c r="CC30" s="43"/>
      <c r="CD30" s="100"/>
      <c r="CE30" s="101"/>
      <c r="CF30" s="101"/>
      <c r="CG30" s="102"/>
      <c r="CH30" s="103"/>
      <c r="CI30" s="104"/>
      <c r="CJ30" s="104"/>
      <c r="CK30" s="105"/>
      <c r="CL30" s="109"/>
      <c r="CM30" s="110"/>
      <c r="CN30" s="110"/>
      <c r="CO30" s="111"/>
      <c r="CP30" s="106"/>
      <c r="CQ30" s="107"/>
      <c r="CR30" s="107"/>
      <c r="CS30" s="108"/>
      <c r="CT30" s="85"/>
      <c r="CU30" s="86"/>
      <c r="CV30" s="86"/>
      <c r="CW30" s="87"/>
      <c r="CX30" s="133"/>
      <c r="CY30" s="134"/>
      <c r="CZ30" s="134"/>
      <c r="DA30" s="135"/>
      <c r="DB30" s="137"/>
      <c r="DC30" s="138"/>
      <c r="DD30" s="138"/>
      <c r="DE30" s="139"/>
      <c r="DF30" s="53"/>
      <c r="DG30" s="54"/>
      <c r="DH30" s="54"/>
      <c r="DI30" s="55"/>
    </row>
    <row r="31" spans="2:113" x14ac:dyDescent="0.3">
      <c r="B31" s="12">
        <v>46187</v>
      </c>
      <c r="C31" s="7" t="s">
        <v>71</v>
      </c>
      <c r="D31" s="3" t="s">
        <v>27</v>
      </c>
      <c r="E31" s="1" t="s">
        <v>1</v>
      </c>
      <c r="F31" s="5" t="s">
        <v>28</v>
      </c>
      <c r="G31" s="3"/>
      <c r="H31" s="1" t="s">
        <v>1</v>
      </c>
      <c r="I31" s="5"/>
      <c r="J31" s="3">
        <v>3</v>
      </c>
      <c r="K31" s="1" t="s">
        <v>1</v>
      </c>
      <c r="L31" s="7">
        <v>0</v>
      </c>
      <c r="M31" s="11" t="str">
        <f>IF(ISBLANK($I31)=TRUE,"",IF(SIGN(J31-L31)=SIGN($G31-$I31),1,0)+IF(J31=$G31,IF(L31=$I31,2,0),0))</f>
        <v/>
      </c>
      <c r="N31" s="3">
        <v>4</v>
      </c>
      <c r="O31" s="1" t="s">
        <v>1</v>
      </c>
      <c r="P31" s="7">
        <v>0</v>
      </c>
      <c r="Q31" s="11" t="str">
        <f>IF(ISBLANK($I31)=TRUE,"",IF(SIGN(N31-P31)=SIGN($G31-$I31),1,0)+IF(N31=$G31,IF(P31=$I31,2,0),0))</f>
        <v/>
      </c>
      <c r="R31" s="3">
        <v>3</v>
      </c>
      <c r="S31" s="1" t="s">
        <v>1</v>
      </c>
      <c r="T31" s="7">
        <v>0</v>
      </c>
      <c r="U31" s="11" t="str">
        <f>IF(ISBLANK($I31)=TRUE,"",IF(SIGN(R31-T31)=SIGN($G31-$I31),1,0)+IF(R31=$G31,IF(T31=$I31,2,0),0))</f>
        <v/>
      </c>
      <c r="V31" s="3">
        <v>4</v>
      </c>
      <c r="W31" s="1" t="s">
        <v>1</v>
      </c>
      <c r="X31" s="7">
        <v>0</v>
      </c>
      <c r="Y31" s="11" t="str">
        <f>IF(ISBLANK($I31)=TRUE,"",IF(SIGN(V31-X31)=SIGN($G31-$I31),1,0)+IF(V31=$G31,IF(X31=$I31,2,0),0))</f>
        <v/>
      </c>
      <c r="Z31" s="3">
        <v>4</v>
      </c>
      <c r="AA31" s="1" t="s">
        <v>1</v>
      </c>
      <c r="AB31" s="7">
        <v>0</v>
      </c>
      <c r="AC31" s="11" t="str">
        <f>IF(ISBLANK($I31)=TRUE,"",IF(SIGN(Z31-AB31)=SIGN($G31-$I31),1,0)+IF(Z31=$G31,IF(AB31=$I31,2,0),0))</f>
        <v/>
      </c>
      <c r="AD31" s="3">
        <v>4</v>
      </c>
      <c r="AE31" s="1" t="s">
        <v>1</v>
      </c>
      <c r="AF31" s="7">
        <v>0</v>
      </c>
      <c r="AG31" s="11" t="str">
        <f>IF(ISBLANK($I31)=TRUE,"",IF(SIGN(AD31-AF31)=SIGN($G31-$I31),1,0)+IF(AD31=$G31,IF(AF31=$I31,2,0),0))</f>
        <v/>
      </c>
      <c r="AH31" s="3">
        <v>4</v>
      </c>
      <c r="AI31" s="1" t="s">
        <v>1</v>
      </c>
      <c r="AJ31" s="7">
        <v>0</v>
      </c>
      <c r="AK31" s="11" t="str">
        <f>IF(ISBLANK($I31)=TRUE,"",IF(SIGN(AH31-AJ31)=SIGN($G31-$I31),1,0)+IF(AH31=$G31,IF(AJ31=$I31,2,0),0))</f>
        <v/>
      </c>
      <c r="AL31" s="3">
        <v>2</v>
      </c>
      <c r="AM31" s="1" t="s">
        <v>1</v>
      </c>
      <c r="AN31" s="7">
        <v>0</v>
      </c>
      <c r="AO31" s="11" t="str">
        <f>IF(ISBLANK($I31)=TRUE,"",IF(SIGN(AL31-AN31)=SIGN($G31-$I31),1,0)+IF(AL31=$G31,IF(AN31=$I31,2,0),0))</f>
        <v/>
      </c>
      <c r="AP31" s="3">
        <v>2</v>
      </c>
      <c r="AQ31" s="1" t="s">
        <v>1</v>
      </c>
      <c r="AR31" s="7">
        <v>0</v>
      </c>
      <c r="AS31" s="11" t="str">
        <f>IF(ISBLANK($I31)=TRUE,"",IF(SIGN(AP31-AR31)=SIGN($G31-$I31),1,0)+IF(AP31=$G31,IF(AR31=$I31,2,0),0))</f>
        <v/>
      </c>
      <c r="AT31" s="3">
        <v>2</v>
      </c>
      <c r="AU31" s="1" t="s">
        <v>1</v>
      </c>
      <c r="AV31" s="7">
        <v>1</v>
      </c>
      <c r="AW31" s="11" t="str">
        <f>IF(ISBLANK($I31)=TRUE,"",IF(SIGN(AT31-AV31)=SIGN($G31-$I31),1,0)+IF(AT31=$G31,IF(AV31=$I31,2,0),0))</f>
        <v/>
      </c>
      <c r="AX31" s="3">
        <v>3</v>
      </c>
      <c r="AY31" s="1" t="s">
        <v>1</v>
      </c>
      <c r="AZ31" s="7">
        <v>0</v>
      </c>
      <c r="BA31" s="11" t="str">
        <f>IF(ISBLANK($I31)=TRUE,"",IF(SIGN(AX31-AZ31)=SIGN($G31-$I31),1,0)+IF(AX31=$G31,IF(AZ31=$I31,2,0),0))</f>
        <v/>
      </c>
      <c r="BB31" s="3">
        <v>5</v>
      </c>
      <c r="BC31" s="1" t="s">
        <v>1</v>
      </c>
      <c r="BD31" s="7">
        <v>0</v>
      </c>
      <c r="BE31" s="11" t="str">
        <f>IF(ISBLANK($I31)=TRUE,"",IF(SIGN(BB31-BD31)=SIGN($G31-$I31),1,0)+IF(BB31=$G31,IF(BD31=$I31,2,0),0))</f>
        <v/>
      </c>
      <c r="BF31" s="3">
        <v>8</v>
      </c>
      <c r="BG31" s="1" t="s">
        <v>1</v>
      </c>
      <c r="BH31" s="7">
        <v>0</v>
      </c>
      <c r="BI31" s="11" t="str">
        <f>IF(ISBLANK($I31)=TRUE,"",IF(SIGN(BF31-BH31)=SIGN($G31-$I31),1,0)+IF(BF31=$G31,IF(BH31=$I31,2,0),0))</f>
        <v/>
      </c>
      <c r="BJ31" s="3">
        <v>3</v>
      </c>
      <c r="BK31" s="1" t="s">
        <v>1</v>
      </c>
      <c r="BL31" s="7">
        <v>0</v>
      </c>
      <c r="BM31" s="11" t="str">
        <f>IF(ISBLANK($I31)=TRUE,"",IF(SIGN(BJ31-BL31)=SIGN($G31-$I31),1,0)+IF(BJ31=$G31,IF(BL31=$I31,2,0),0))</f>
        <v/>
      </c>
      <c r="BN31" s="3">
        <v>4</v>
      </c>
      <c r="BO31" s="1" t="s">
        <v>1</v>
      </c>
      <c r="BP31" s="7">
        <v>0</v>
      </c>
      <c r="BQ31" s="11" t="str">
        <f>IF(ISBLANK($I31)=TRUE,"",IF(SIGN(BN31-BP31)=SIGN($G31-$I31),1,0)+IF(BN31=$G31,IF(BP31=$I31,2,0),0))</f>
        <v/>
      </c>
      <c r="BR31" s="3">
        <v>7</v>
      </c>
      <c r="BS31" s="1" t="s">
        <v>1</v>
      </c>
      <c r="BT31" s="7">
        <v>0</v>
      </c>
      <c r="BU31" s="11" t="str">
        <f>IF(ISBLANK($I31)=TRUE,"",IF(SIGN(BR31-BT31)=SIGN($G31-$I31),1,0)+IF(BR31=$G31,IF(BT31=$I31,2,0),0))</f>
        <v/>
      </c>
      <c r="BV31" s="3">
        <v>4</v>
      </c>
      <c r="BW31" s="1" t="s">
        <v>1</v>
      </c>
      <c r="BX31" s="7">
        <v>0</v>
      </c>
      <c r="BY31" s="11" t="str">
        <f>IF(ISBLANK($I31)=TRUE,"",IF(SIGN(BV31-BX31)=SIGN($G31-$I31),1,0)+IF(BV31=$G31,IF(BX31=$I31,2,0),0))</f>
        <v/>
      </c>
      <c r="BZ31" s="3">
        <v>3</v>
      </c>
      <c r="CA31" s="1" t="s">
        <v>1</v>
      </c>
      <c r="CB31" s="7">
        <v>0</v>
      </c>
      <c r="CC31" s="11" t="str">
        <f>IF(ISBLANK($I31)=TRUE,"",IF(SIGN(BZ31-CB31)=SIGN($G31-$I31),1,0)+IF(BZ31=$G31,IF(CB31=$I31,2,0),0))</f>
        <v/>
      </c>
      <c r="CD31" s="3">
        <v>3</v>
      </c>
      <c r="CE31" s="1" t="s">
        <v>1</v>
      </c>
      <c r="CF31" s="7">
        <v>0</v>
      </c>
      <c r="CG31" s="11" t="str">
        <f>IF(ISBLANK($I31)=TRUE,"",IF(SIGN(CD31-CF31)=SIGN($G31-$I31),1,0)+IF(CD31=$G31,IF(CF31=$I31,2,0),0))</f>
        <v/>
      </c>
      <c r="CH31" s="3">
        <v>6</v>
      </c>
      <c r="CI31" s="1" t="s">
        <v>1</v>
      </c>
      <c r="CJ31" s="7">
        <v>0</v>
      </c>
      <c r="CK31" s="11" t="str">
        <f>IF(ISBLANK($I31)=TRUE,"",IF(SIGN(CH31-CJ31)=SIGN($G31-$I31),1,0)+IF(CH31=$G31,IF(CJ31=$I31,2,0),0))</f>
        <v/>
      </c>
      <c r="CL31" s="3">
        <v>4</v>
      </c>
      <c r="CM31" s="1" t="s">
        <v>1</v>
      </c>
      <c r="CN31" s="7">
        <v>0</v>
      </c>
      <c r="CO31" s="11" t="str">
        <f>IF(ISBLANK($I31)=TRUE,"",IF(SIGN(CL31-CN31)=SIGN($G31-$I31),1,0)+IF(CL31=$G31,IF(CN31=$I31,2,0),0))</f>
        <v/>
      </c>
      <c r="CP31" s="3">
        <v>6</v>
      </c>
      <c r="CQ31" s="1" t="s">
        <v>1</v>
      </c>
      <c r="CR31" s="7">
        <v>0</v>
      </c>
      <c r="CS31" s="11" t="str">
        <f>IF(ISBLANK($I31)=TRUE,"",IF(SIGN(CP31-CR31)=SIGN($G31-$I31),1,0)+IF(CP31=$G31,IF(CR31=$I31,2,0),0))</f>
        <v/>
      </c>
      <c r="CT31" s="3">
        <v>5</v>
      </c>
      <c r="CU31" s="1" t="s">
        <v>1</v>
      </c>
      <c r="CV31" s="7">
        <v>0</v>
      </c>
      <c r="CW31" s="11" t="str">
        <f>IF(ISBLANK($I31)=TRUE,"",IF(SIGN(CT31-CV31)=SIGN($G31-$I31),1,0)+IF(CT31=$G31,IF(CV31=$I31,2,0),0))</f>
        <v/>
      </c>
      <c r="CX31" s="3">
        <v>5</v>
      </c>
      <c r="CY31" s="1" t="s">
        <v>1</v>
      </c>
      <c r="CZ31" s="7">
        <v>0</v>
      </c>
      <c r="DA31" s="11" t="str">
        <f>IF(ISBLANK($I31)=TRUE,"",IF(SIGN(CX31-CZ31)=SIGN($G31-$I31),1,0)+IF(CX31=$G31,IF(CZ31=$I31,2,0),0))</f>
        <v/>
      </c>
      <c r="DB31" s="3">
        <v>2</v>
      </c>
      <c r="DC31" s="1" t="s">
        <v>1</v>
      </c>
      <c r="DD31" s="7">
        <v>1</v>
      </c>
      <c r="DE31" s="11" t="str">
        <f>IF(ISBLANK($I31)=TRUE,"",IF(SIGN(DB31-DD31)=SIGN($G31-$I31),1,0)+IF(DB31=$G31,IF(DD31=$I31,2,0),0))</f>
        <v/>
      </c>
      <c r="DF31" s="3">
        <v>2</v>
      </c>
      <c r="DG31" s="1" t="s">
        <v>1</v>
      </c>
      <c r="DH31" s="7">
        <v>0</v>
      </c>
      <c r="DI31" s="11" t="str">
        <f>IF(ISBLANK($I31)=TRUE,"",IF(SIGN(DF31-DH31)=SIGN($G31-$I31),1,0)+IF(DF31=$G31,IF(DH31=$I31,2,0),0))</f>
        <v/>
      </c>
    </row>
    <row r="32" spans="2:113" x14ac:dyDescent="0.3">
      <c r="B32" s="12">
        <v>46188</v>
      </c>
      <c r="C32" s="7" t="s">
        <v>72</v>
      </c>
      <c r="D32" s="3" t="s">
        <v>29</v>
      </c>
      <c r="E32" s="1" t="s">
        <v>1</v>
      </c>
      <c r="F32" s="5" t="s">
        <v>30</v>
      </c>
      <c r="G32" s="3"/>
      <c r="H32" s="1" t="s">
        <v>1</v>
      </c>
      <c r="I32" s="5"/>
      <c r="J32" s="3">
        <v>1</v>
      </c>
      <c r="K32" s="1" t="s">
        <v>1</v>
      </c>
      <c r="L32" s="7">
        <v>1</v>
      </c>
      <c r="M32" s="9" t="str">
        <f t="shared" ref="M32:M36" si="104">IF(ISBLANK($G32)=TRUE,"",IF(SIGN(J32-L32)=SIGN($G32-$I32),1,0)+IF(J32=$G32,IF(L32=$I32,2,0),0))</f>
        <v/>
      </c>
      <c r="N32" s="3">
        <v>1</v>
      </c>
      <c r="O32" s="1" t="s">
        <v>1</v>
      </c>
      <c r="P32" s="7">
        <v>1</v>
      </c>
      <c r="Q32" s="9" t="str">
        <f t="shared" ref="Q32:Q36" si="105">IF(ISBLANK($G32)=TRUE,"",IF(SIGN(N32-P32)=SIGN($G32-$I32),1,0)+IF(N32=$G32,IF(P32=$I32,2,0),0))</f>
        <v/>
      </c>
      <c r="R32" s="3">
        <v>1</v>
      </c>
      <c r="S32" s="1" t="s">
        <v>1</v>
      </c>
      <c r="T32" s="7">
        <v>1</v>
      </c>
      <c r="U32" s="9" t="str">
        <f t="shared" ref="U32:U36" si="106">IF(ISBLANK($G32)=TRUE,"",IF(SIGN(R32-T32)=SIGN($G32-$I32),1,0)+IF(R32=$G32,IF(T32=$I32,2,0),0))</f>
        <v/>
      </c>
      <c r="V32" s="3">
        <v>1</v>
      </c>
      <c r="W32" s="1" t="s">
        <v>1</v>
      </c>
      <c r="X32" s="7">
        <v>2</v>
      </c>
      <c r="Y32" s="9" t="str">
        <f t="shared" ref="Y32:Y36" si="107">IF(ISBLANK($G32)=TRUE,"",IF(SIGN(V32-X32)=SIGN($G32-$I32),1,0)+IF(V32=$G32,IF(X32=$I32,2,0),0))</f>
        <v/>
      </c>
      <c r="Z32" s="3">
        <v>2</v>
      </c>
      <c r="AA32" s="1" t="s">
        <v>1</v>
      </c>
      <c r="AB32" s="7">
        <v>0</v>
      </c>
      <c r="AC32" s="9" t="str">
        <f t="shared" ref="AC32:AC36" si="108">IF(ISBLANK($G32)=TRUE,"",IF(SIGN(Z32-AB32)=SIGN($G32-$I32),1,0)+IF(Z32=$G32,IF(AB32=$I32,2,0),0))</f>
        <v/>
      </c>
      <c r="AD32" s="3">
        <v>2</v>
      </c>
      <c r="AE32" s="1" t="s">
        <v>1</v>
      </c>
      <c r="AF32" s="7">
        <v>1</v>
      </c>
      <c r="AG32" s="9" t="str">
        <f t="shared" ref="AG32:AG36" si="109">IF(ISBLANK($G32)=TRUE,"",IF(SIGN(AD32-AF32)=SIGN($G32-$I32),1,0)+IF(AD32=$G32,IF(AF32=$I32,2,0),0))</f>
        <v/>
      </c>
      <c r="AH32" s="3">
        <v>2</v>
      </c>
      <c r="AI32" s="1" t="s">
        <v>1</v>
      </c>
      <c r="AJ32" s="7">
        <v>1</v>
      </c>
      <c r="AK32" s="9" t="str">
        <f t="shared" ref="AK32:AK36" si="110">IF(ISBLANK($G32)=TRUE,"",IF(SIGN(AH32-AJ32)=SIGN($G32-$I32),1,0)+IF(AH32=$G32,IF(AJ32=$I32,2,0),0))</f>
        <v/>
      </c>
      <c r="AL32" s="3">
        <v>0</v>
      </c>
      <c r="AM32" s="1" t="s">
        <v>1</v>
      </c>
      <c r="AN32" s="7">
        <v>1</v>
      </c>
      <c r="AO32" s="9" t="str">
        <f t="shared" ref="AO32:AO36" si="111">IF(ISBLANK($G32)=TRUE,"",IF(SIGN(AL32-AN32)=SIGN($G32-$I32),1,0)+IF(AL32=$G32,IF(AN32=$I32,2,0),0))</f>
        <v/>
      </c>
      <c r="AP32" s="3">
        <v>2</v>
      </c>
      <c r="AQ32" s="1" t="s">
        <v>1</v>
      </c>
      <c r="AR32" s="7">
        <v>2</v>
      </c>
      <c r="AS32" s="9" t="str">
        <f t="shared" ref="AS32:AS36" si="112">IF(ISBLANK($G32)=TRUE,"",IF(SIGN(AP32-AR32)=SIGN($G32-$I32),1,0)+IF(AP32=$G32,IF(AR32=$I32,2,0),0))</f>
        <v/>
      </c>
      <c r="AT32" s="3">
        <v>1</v>
      </c>
      <c r="AU32" s="1" t="s">
        <v>1</v>
      </c>
      <c r="AV32" s="7">
        <v>1</v>
      </c>
      <c r="AW32" s="9" t="str">
        <f t="shared" ref="AW32:AW36" si="113">IF(ISBLANK($G32)=TRUE,"",IF(SIGN(AT32-AV32)=SIGN($G32-$I32),1,0)+IF(AT32=$G32,IF(AV32=$I32,2,0),0))</f>
        <v/>
      </c>
      <c r="AX32" s="3">
        <v>0</v>
      </c>
      <c r="AY32" s="1" t="s">
        <v>1</v>
      </c>
      <c r="AZ32" s="7">
        <v>2</v>
      </c>
      <c r="BA32" s="9" t="str">
        <f t="shared" ref="BA32:BA36" si="114">IF(ISBLANK($G32)=TRUE,"",IF(SIGN(AX32-AZ32)=SIGN($G32-$I32),1,0)+IF(AX32=$G32,IF(AZ32=$I32,2,0),0))</f>
        <v/>
      </c>
      <c r="BB32" s="3">
        <v>1</v>
      </c>
      <c r="BC32" s="1" t="s">
        <v>1</v>
      </c>
      <c r="BD32" s="7">
        <v>1</v>
      </c>
      <c r="BE32" s="9" t="str">
        <f t="shared" ref="BE32:BE36" si="115">IF(ISBLANK($G32)=TRUE,"",IF(SIGN(BB32-BD32)=SIGN($G32-$I32),1,0)+IF(BB32=$G32,IF(BD32=$I32,2,0),0))</f>
        <v/>
      </c>
      <c r="BF32" s="3">
        <v>1</v>
      </c>
      <c r="BG32" s="1" t="s">
        <v>1</v>
      </c>
      <c r="BH32" s="7">
        <v>2</v>
      </c>
      <c r="BI32" s="9" t="str">
        <f t="shared" ref="BI32:BI36" si="116">IF(ISBLANK($G32)=TRUE,"",IF(SIGN(BF32-BH32)=SIGN($G32-$I32),1,0)+IF(BF32=$G32,IF(BH32=$I32,2,0),0))</f>
        <v/>
      </c>
      <c r="BJ32" s="3">
        <v>1</v>
      </c>
      <c r="BK32" s="1" t="s">
        <v>1</v>
      </c>
      <c r="BL32" s="7">
        <v>1</v>
      </c>
      <c r="BM32" s="9" t="str">
        <f t="shared" ref="BM32:BM36" si="117">IF(ISBLANK($G32)=TRUE,"",IF(SIGN(BJ32-BL32)=SIGN($G32-$I32),1,0)+IF(BJ32=$G32,IF(BL32=$I32,2,0),0))</f>
        <v/>
      </c>
      <c r="BN32" s="3">
        <v>0</v>
      </c>
      <c r="BO32" s="1" t="s">
        <v>1</v>
      </c>
      <c r="BP32" s="7">
        <v>1</v>
      </c>
      <c r="BQ32" s="9" t="str">
        <f t="shared" ref="BQ32:BQ36" si="118">IF(ISBLANK($G32)=TRUE,"",IF(SIGN(BN32-BP32)=SIGN($G32-$I32),1,0)+IF(BN32=$G32,IF(BP32=$I32,2,0),0))</f>
        <v/>
      </c>
      <c r="BR32" s="3">
        <v>2</v>
      </c>
      <c r="BS32" s="1" t="s">
        <v>1</v>
      </c>
      <c r="BT32" s="7">
        <v>1</v>
      </c>
      <c r="BU32" s="9" t="str">
        <f t="shared" ref="BU32:BU36" si="119">IF(ISBLANK($G32)=TRUE,"",IF(SIGN(BR32-BT32)=SIGN($G32-$I32),1,0)+IF(BR32=$G32,IF(BT32=$I32,2,0),0))</f>
        <v/>
      </c>
      <c r="BV32" s="3">
        <v>1</v>
      </c>
      <c r="BW32" s="1" t="s">
        <v>1</v>
      </c>
      <c r="BX32" s="7">
        <v>1</v>
      </c>
      <c r="BY32" s="9" t="str">
        <f t="shared" ref="BY32:BY36" si="120">IF(ISBLANK($G32)=TRUE,"",IF(SIGN(BV32-BX32)=SIGN($G32-$I32),1,0)+IF(BV32=$G32,IF(BX32=$I32,2,0),0))</f>
        <v/>
      </c>
      <c r="BZ32" s="3">
        <v>0</v>
      </c>
      <c r="CA32" s="1" t="s">
        <v>1</v>
      </c>
      <c r="CB32" s="7">
        <v>2</v>
      </c>
      <c r="CC32" s="9" t="str">
        <f t="shared" ref="CC32:CC36" si="121">IF(ISBLANK($G32)=TRUE,"",IF(SIGN(BZ32-CB32)=SIGN($G32-$I32),1,0)+IF(BZ32=$G32,IF(CB32=$I32,2,0),0))</f>
        <v/>
      </c>
      <c r="CD32" s="3">
        <v>1</v>
      </c>
      <c r="CE32" s="1" t="s">
        <v>1</v>
      </c>
      <c r="CF32" s="7">
        <v>1</v>
      </c>
      <c r="CG32" s="9" t="str">
        <f t="shared" ref="CG32:CG36" si="122">IF(ISBLANK($G32)=TRUE,"",IF(SIGN(CD32-CF32)=SIGN($G32-$I32),1,0)+IF(CD32=$G32,IF(CF32=$I32,2,0),0))</f>
        <v/>
      </c>
      <c r="CH32" s="3">
        <v>2</v>
      </c>
      <c r="CI32" s="1" t="s">
        <v>1</v>
      </c>
      <c r="CJ32" s="7">
        <v>1</v>
      </c>
      <c r="CK32" s="9" t="str">
        <f t="shared" ref="CK32:CK36" si="123">IF(ISBLANK($G32)=TRUE,"",IF(SIGN(CH32-CJ32)=SIGN($G32-$I32),1,0)+IF(CH32=$G32,IF(CJ32=$I32,2,0),0))</f>
        <v/>
      </c>
      <c r="CL32" s="3">
        <v>1</v>
      </c>
      <c r="CM32" s="1" t="s">
        <v>1</v>
      </c>
      <c r="CN32" s="7">
        <v>1</v>
      </c>
      <c r="CO32" s="9" t="str">
        <f t="shared" ref="CO32:CO36" si="124">IF(ISBLANK($G32)=TRUE,"",IF(SIGN(CL32-CN32)=SIGN($G32-$I32),1,0)+IF(CL32=$G32,IF(CN32=$I32,2,0),0))</f>
        <v/>
      </c>
      <c r="CP32" s="3">
        <v>2</v>
      </c>
      <c r="CQ32" s="1" t="s">
        <v>1</v>
      </c>
      <c r="CR32" s="7">
        <v>2</v>
      </c>
      <c r="CS32" s="9" t="str">
        <f t="shared" ref="CS32:CS36" si="125">IF(ISBLANK($G32)=TRUE,"",IF(SIGN(CP32-CR32)=SIGN($G32-$I32),1,0)+IF(CP32=$G32,IF(CR32=$I32,2,0),0))</f>
        <v/>
      </c>
      <c r="CT32" s="3">
        <v>3</v>
      </c>
      <c r="CU32" s="1" t="s">
        <v>1</v>
      </c>
      <c r="CV32" s="7">
        <v>2</v>
      </c>
      <c r="CW32" s="9" t="str">
        <f t="shared" ref="CW32:CW36" si="126">IF(ISBLANK($G32)=TRUE,"",IF(SIGN(CT32-CV32)=SIGN($G32-$I32),1,0)+IF(CT32=$G32,IF(CV32=$I32,2,0),0))</f>
        <v/>
      </c>
      <c r="CX32" s="3">
        <v>0</v>
      </c>
      <c r="CY32" s="1" t="s">
        <v>1</v>
      </c>
      <c r="CZ32" s="7">
        <v>1</v>
      </c>
      <c r="DA32" s="9" t="str">
        <f t="shared" ref="DA32:DA36" si="127">IF(ISBLANK($G32)=TRUE,"",IF(SIGN(CX32-CZ32)=SIGN($G32-$I32),1,0)+IF(CX32=$G32,IF(CZ32=$I32,2,0),0))</f>
        <v/>
      </c>
      <c r="DB32" s="3">
        <v>2</v>
      </c>
      <c r="DC32" s="1" t="s">
        <v>1</v>
      </c>
      <c r="DD32" s="7">
        <v>1</v>
      </c>
      <c r="DE32" s="9" t="str">
        <f t="shared" ref="DE32:DE36" si="128">IF(ISBLANK($G32)=TRUE,"",IF(SIGN(DB32-DD32)=SIGN($G32-$I32),1,0)+IF(DB32=$G32,IF(DD32=$I32,2,0),0))</f>
        <v/>
      </c>
      <c r="DF32" s="3">
        <v>0</v>
      </c>
      <c r="DG32" s="1" t="s">
        <v>1</v>
      </c>
      <c r="DH32" s="7">
        <v>2</v>
      </c>
      <c r="DI32" s="9" t="str">
        <f t="shared" ref="DI32:DI36" si="129">IF(ISBLANK($G32)=TRUE,"",IF(SIGN(DF32-DH32)=SIGN($G32-$I32),1,0)+IF(DF32=$G32,IF(DH32=$I32,2,0),0))</f>
        <v/>
      </c>
    </row>
    <row r="33" spans="2:113" x14ac:dyDescent="0.3">
      <c r="B33" s="12">
        <v>46193</v>
      </c>
      <c r="C33" s="7" t="s">
        <v>73</v>
      </c>
      <c r="D33" s="3" t="s">
        <v>27</v>
      </c>
      <c r="E33" s="1" t="s">
        <v>1</v>
      </c>
      <c r="F33" s="5" t="s">
        <v>29</v>
      </c>
      <c r="G33" s="3"/>
      <c r="H33" s="1" t="s">
        <v>1</v>
      </c>
      <c r="I33" s="5"/>
      <c r="J33" s="3">
        <v>2</v>
      </c>
      <c r="K33" s="1" t="s">
        <v>1</v>
      </c>
      <c r="L33" s="7">
        <v>1</v>
      </c>
      <c r="M33" s="9" t="str">
        <f t="shared" si="104"/>
        <v/>
      </c>
      <c r="N33" s="3">
        <v>2</v>
      </c>
      <c r="O33" s="1" t="s">
        <v>1</v>
      </c>
      <c r="P33" s="7">
        <v>1</v>
      </c>
      <c r="Q33" s="9" t="str">
        <f t="shared" si="105"/>
        <v/>
      </c>
      <c r="R33" s="3">
        <v>2</v>
      </c>
      <c r="S33" s="1" t="s">
        <v>1</v>
      </c>
      <c r="T33" s="7">
        <v>1</v>
      </c>
      <c r="U33" s="9" t="str">
        <f t="shared" si="106"/>
        <v/>
      </c>
      <c r="V33" s="3">
        <v>2</v>
      </c>
      <c r="W33" s="1" t="s">
        <v>1</v>
      </c>
      <c r="X33" s="7">
        <v>0</v>
      </c>
      <c r="Y33" s="9" t="str">
        <f t="shared" si="107"/>
        <v/>
      </c>
      <c r="Z33" s="3">
        <v>3</v>
      </c>
      <c r="AA33" s="1" t="s">
        <v>1</v>
      </c>
      <c r="AB33" s="7">
        <v>1</v>
      </c>
      <c r="AC33" s="9" t="str">
        <f t="shared" si="108"/>
        <v/>
      </c>
      <c r="AD33" s="3">
        <v>3</v>
      </c>
      <c r="AE33" s="1" t="s">
        <v>1</v>
      </c>
      <c r="AF33" s="7">
        <v>1</v>
      </c>
      <c r="AG33" s="9" t="str">
        <f t="shared" si="109"/>
        <v/>
      </c>
      <c r="AH33" s="3">
        <v>2</v>
      </c>
      <c r="AI33" s="1" t="s">
        <v>1</v>
      </c>
      <c r="AJ33" s="7">
        <v>0</v>
      </c>
      <c r="AK33" s="9" t="str">
        <f t="shared" si="110"/>
        <v/>
      </c>
      <c r="AL33" s="3">
        <v>1</v>
      </c>
      <c r="AM33" s="1" t="s">
        <v>1</v>
      </c>
      <c r="AN33" s="7">
        <v>0</v>
      </c>
      <c r="AO33" s="9" t="str">
        <f t="shared" si="111"/>
        <v/>
      </c>
      <c r="AP33" s="3">
        <v>1</v>
      </c>
      <c r="AQ33" s="1" t="s">
        <v>1</v>
      </c>
      <c r="AR33" s="7">
        <v>0</v>
      </c>
      <c r="AS33" s="9" t="str">
        <f t="shared" si="112"/>
        <v/>
      </c>
      <c r="AT33" s="3">
        <v>0</v>
      </c>
      <c r="AU33" s="1" t="s">
        <v>1</v>
      </c>
      <c r="AV33" s="7">
        <v>0</v>
      </c>
      <c r="AW33" s="9" t="str">
        <f t="shared" si="113"/>
        <v/>
      </c>
      <c r="AX33" s="3">
        <v>2</v>
      </c>
      <c r="AY33" s="1" t="s">
        <v>1</v>
      </c>
      <c r="AZ33" s="7">
        <v>0</v>
      </c>
      <c r="BA33" s="9" t="str">
        <f t="shared" si="114"/>
        <v/>
      </c>
      <c r="BB33" s="3">
        <v>1</v>
      </c>
      <c r="BC33" s="1" t="s">
        <v>1</v>
      </c>
      <c r="BD33" s="7">
        <v>1</v>
      </c>
      <c r="BE33" s="9" t="str">
        <f t="shared" si="115"/>
        <v/>
      </c>
      <c r="BF33" s="3">
        <v>3</v>
      </c>
      <c r="BG33" s="1" t="s">
        <v>1</v>
      </c>
      <c r="BH33" s="7">
        <v>0</v>
      </c>
      <c r="BI33" s="9" t="str">
        <f t="shared" si="116"/>
        <v/>
      </c>
      <c r="BJ33" s="3">
        <v>2</v>
      </c>
      <c r="BK33" s="1" t="s">
        <v>1</v>
      </c>
      <c r="BL33" s="7">
        <v>1</v>
      </c>
      <c r="BM33" s="9" t="str">
        <f t="shared" si="117"/>
        <v/>
      </c>
      <c r="BN33" s="3">
        <v>2</v>
      </c>
      <c r="BO33" s="1" t="s">
        <v>1</v>
      </c>
      <c r="BP33" s="7">
        <v>0</v>
      </c>
      <c r="BQ33" s="9" t="str">
        <f t="shared" si="118"/>
        <v/>
      </c>
      <c r="BR33" s="3">
        <v>2</v>
      </c>
      <c r="BS33" s="1" t="s">
        <v>1</v>
      </c>
      <c r="BT33" s="7">
        <v>1</v>
      </c>
      <c r="BU33" s="9" t="str">
        <f t="shared" si="119"/>
        <v/>
      </c>
      <c r="BV33" s="3">
        <v>1</v>
      </c>
      <c r="BW33" s="1" t="s">
        <v>1</v>
      </c>
      <c r="BX33" s="7">
        <v>0</v>
      </c>
      <c r="BY33" s="9" t="str">
        <f t="shared" si="120"/>
        <v/>
      </c>
      <c r="BZ33" s="3">
        <v>2</v>
      </c>
      <c r="CA33" s="1" t="s">
        <v>1</v>
      </c>
      <c r="CB33" s="7">
        <v>0</v>
      </c>
      <c r="CC33" s="9" t="str">
        <f t="shared" si="121"/>
        <v/>
      </c>
      <c r="CD33" s="3">
        <v>2</v>
      </c>
      <c r="CE33" s="1" t="s">
        <v>1</v>
      </c>
      <c r="CF33" s="7">
        <v>1</v>
      </c>
      <c r="CG33" s="9" t="str">
        <f t="shared" si="122"/>
        <v/>
      </c>
      <c r="CH33" s="3">
        <v>3</v>
      </c>
      <c r="CI33" s="1" t="s">
        <v>1</v>
      </c>
      <c r="CJ33" s="7">
        <v>1</v>
      </c>
      <c r="CK33" s="9" t="str">
        <f t="shared" si="123"/>
        <v/>
      </c>
      <c r="CL33" s="3">
        <v>3</v>
      </c>
      <c r="CM33" s="1" t="s">
        <v>1</v>
      </c>
      <c r="CN33" s="7">
        <v>1</v>
      </c>
      <c r="CO33" s="9" t="str">
        <f t="shared" si="124"/>
        <v/>
      </c>
      <c r="CP33" s="3">
        <v>3</v>
      </c>
      <c r="CQ33" s="1" t="s">
        <v>1</v>
      </c>
      <c r="CR33" s="7">
        <v>1</v>
      </c>
      <c r="CS33" s="9" t="str">
        <f t="shared" si="125"/>
        <v/>
      </c>
      <c r="CT33" s="3">
        <v>4</v>
      </c>
      <c r="CU33" s="1" t="s">
        <v>1</v>
      </c>
      <c r="CV33" s="7">
        <v>1</v>
      </c>
      <c r="CW33" s="9" t="str">
        <f t="shared" si="126"/>
        <v/>
      </c>
      <c r="CX33" s="3">
        <v>2</v>
      </c>
      <c r="CY33" s="1" t="s">
        <v>1</v>
      </c>
      <c r="CZ33" s="7">
        <v>0</v>
      </c>
      <c r="DA33" s="9" t="str">
        <f t="shared" si="127"/>
        <v/>
      </c>
      <c r="DB33" s="3">
        <v>3</v>
      </c>
      <c r="DC33" s="1" t="s">
        <v>1</v>
      </c>
      <c r="DD33" s="7">
        <v>0</v>
      </c>
      <c r="DE33" s="9" t="str">
        <f t="shared" si="128"/>
        <v/>
      </c>
      <c r="DF33" s="3">
        <v>2</v>
      </c>
      <c r="DG33" s="1" t="s">
        <v>1</v>
      </c>
      <c r="DH33" s="7">
        <v>1</v>
      </c>
      <c r="DI33" s="9" t="str">
        <f t="shared" si="129"/>
        <v/>
      </c>
    </row>
    <row r="34" spans="2:113" x14ac:dyDescent="0.3">
      <c r="B34" s="12">
        <v>46194</v>
      </c>
      <c r="C34" s="7" t="s">
        <v>74</v>
      </c>
      <c r="D34" s="3" t="s">
        <v>30</v>
      </c>
      <c r="E34" s="1" t="s">
        <v>1</v>
      </c>
      <c r="F34" s="5" t="s">
        <v>28</v>
      </c>
      <c r="G34" s="3"/>
      <c r="H34" s="1" t="s">
        <v>1</v>
      </c>
      <c r="I34" s="5"/>
      <c r="J34" s="3">
        <v>2</v>
      </c>
      <c r="K34" s="1" t="s">
        <v>1</v>
      </c>
      <c r="L34" s="7">
        <v>0</v>
      </c>
      <c r="M34" s="9" t="str">
        <f t="shared" si="104"/>
        <v/>
      </c>
      <c r="N34" s="3">
        <v>2</v>
      </c>
      <c r="O34" s="1" t="s">
        <v>1</v>
      </c>
      <c r="P34" s="7">
        <v>0</v>
      </c>
      <c r="Q34" s="9" t="str">
        <f t="shared" si="105"/>
        <v/>
      </c>
      <c r="R34" s="3">
        <v>2</v>
      </c>
      <c r="S34" s="1" t="s">
        <v>1</v>
      </c>
      <c r="T34" s="7">
        <v>0</v>
      </c>
      <c r="U34" s="9" t="str">
        <f t="shared" si="106"/>
        <v/>
      </c>
      <c r="V34" s="3">
        <v>2</v>
      </c>
      <c r="W34" s="1" t="s">
        <v>1</v>
      </c>
      <c r="X34" s="7">
        <v>0</v>
      </c>
      <c r="Y34" s="9" t="str">
        <f t="shared" si="107"/>
        <v/>
      </c>
      <c r="Z34" s="3">
        <v>2</v>
      </c>
      <c r="AA34" s="1" t="s">
        <v>1</v>
      </c>
      <c r="AB34" s="7">
        <v>0</v>
      </c>
      <c r="AC34" s="9" t="str">
        <f t="shared" si="108"/>
        <v/>
      </c>
      <c r="AD34" s="3">
        <v>2</v>
      </c>
      <c r="AE34" s="1" t="s">
        <v>1</v>
      </c>
      <c r="AF34" s="7">
        <v>0</v>
      </c>
      <c r="AG34" s="9" t="str">
        <f t="shared" si="109"/>
        <v/>
      </c>
      <c r="AH34" s="3">
        <v>2</v>
      </c>
      <c r="AI34" s="1" t="s">
        <v>1</v>
      </c>
      <c r="AJ34" s="7">
        <v>0</v>
      </c>
      <c r="AK34" s="9" t="str">
        <f t="shared" si="110"/>
        <v/>
      </c>
      <c r="AL34" s="3">
        <v>1</v>
      </c>
      <c r="AM34" s="1" t="s">
        <v>1</v>
      </c>
      <c r="AN34" s="7">
        <v>0</v>
      </c>
      <c r="AO34" s="9" t="str">
        <f t="shared" si="111"/>
        <v/>
      </c>
      <c r="AP34" s="3">
        <v>2</v>
      </c>
      <c r="AQ34" s="1" t="s">
        <v>1</v>
      </c>
      <c r="AR34" s="7">
        <v>1</v>
      </c>
      <c r="AS34" s="9" t="str">
        <f t="shared" si="112"/>
        <v/>
      </c>
      <c r="AT34" s="3">
        <v>1</v>
      </c>
      <c r="AU34" s="1" t="s">
        <v>1</v>
      </c>
      <c r="AV34" s="7">
        <v>0</v>
      </c>
      <c r="AW34" s="9" t="str">
        <f t="shared" si="113"/>
        <v/>
      </c>
      <c r="AX34" s="3">
        <v>1</v>
      </c>
      <c r="AY34" s="1" t="s">
        <v>1</v>
      </c>
      <c r="AZ34" s="7">
        <v>0</v>
      </c>
      <c r="BA34" s="9" t="str">
        <f t="shared" si="114"/>
        <v/>
      </c>
      <c r="BB34" s="3">
        <v>3</v>
      </c>
      <c r="BC34" s="1" t="s">
        <v>1</v>
      </c>
      <c r="BD34" s="7">
        <v>0</v>
      </c>
      <c r="BE34" s="9" t="str">
        <f t="shared" si="115"/>
        <v/>
      </c>
      <c r="BF34" s="3">
        <v>4</v>
      </c>
      <c r="BG34" s="1" t="s">
        <v>1</v>
      </c>
      <c r="BH34" s="7">
        <v>0</v>
      </c>
      <c r="BI34" s="9" t="str">
        <f t="shared" si="116"/>
        <v/>
      </c>
      <c r="BJ34" s="3">
        <v>2</v>
      </c>
      <c r="BK34" s="1" t="s">
        <v>1</v>
      </c>
      <c r="BL34" s="7">
        <v>0</v>
      </c>
      <c r="BM34" s="9" t="str">
        <f t="shared" si="117"/>
        <v/>
      </c>
      <c r="BN34" s="3">
        <v>3</v>
      </c>
      <c r="BO34" s="1" t="s">
        <v>1</v>
      </c>
      <c r="BP34" s="7">
        <v>0</v>
      </c>
      <c r="BQ34" s="9" t="str">
        <f t="shared" si="118"/>
        <v/>
      </c>
      <c r="BR34" s="3">
        <v>3</v>
      </c>
      <c r="BS34" s="1" t="s">
        <v>1</v>
      </c>
      <c r="BT34" s="7">
        <v>0</v>
      </c>
      <c r="BU34" s="9" t="str">
        <f t="shared" si="119"/>
        <v/>
      </c>
      <c r="BV34" s="3">
        <v>4</v>
      </c>
      <c r="BW34" s="1" t="s">
        <v>1</v>
      </c>
      <c r="BX34" s="7">
        <v>1</v>
      </c>
      <c r="BY34" s="9" t="str">
        <f t="shared" si="120"/>
        <v/>
      </c>
      <c r="BZ34" s="3">
        <v>3</v>
      </c>
      <c r="CA34" s="1" t="s">
        <v>1</v>
      </c>
      <c r="CB34" s="7">
        <v>1</v>
      </c>
      <c r="CC34" s="9" t="str">
        <f t="shared" si="121"/>
        <v/>
      </c>
      <c r="CD34" s="3">
        <v>3</v>
      </c>
      <c r="CE34" s="1" t="s">
        <v>1</v>
      </c>
      <c r="CF34" s="7">
        <v>0</v>
      </c>
      <c r="CG34" s="9" t="str">
        <f t="shared" si="122"/>
        <v/>
      </c>
      <c r="CH34" s="3">
        <v>3</v>
      </c>
      <c r="CI34" s="1" t="s">
        <v>1</v>
      </c>
      <c r="CJ34" s="7">
        <v>1</v>
      </c>
      <c r="CK34" s="9" t="str">
        <f t="shared" si="123"/>
        <v/>
      </c>
      <c r="CL34" s="3">
        <v>2</v>
      </c>
      <c r="CM34" s="1" t="s">
        <v>1</v>
      </c>
      <c r="CN34" s="7">
        <v>0</v>
      </c>
      <c r="CO34" s="9" t="str">
        <f t="shared" si="124"/>
        <v/>
      </c>
      <c r="CP34" s="3">
        <v>5</v>
      </c>
      <c r="CQ34" s="1" t="s">
        <v>1</v>
      </c>
      <c r="CR34" s="7">
        <v>0</v>
      </c>
      <c r="CS34" s="9" t="str">
        <f t="shared" si="125"/>
        <v/>
      </c>
      <c r="CT34" s="3">
        <v>2</v>
      </c>
      <c r="CU34" s="1" t="s">
        <v>1</v>
      </c>
      <c r="CV34" s="7">
        <v>0</v>
      </c>
      <c r="CW34" s="9" t="str">
        <f t="shared" si="126"/>
        <v/>
      </c>
      <c r="CX34" s="3">
        <v>4</v>
      </c>
      <c r="CY34" s="1" t="s">
        <v>1</v>
      </c>
      <c r="CZ34" s="7">
        <v>0</v>
      </c>
      <c r="DA34" s="9" t="str">
        <f t="shared" si="127"/>
        <v/>
      </c>
      <c r="DB34" s="3">
        <v>2</v>
      </c>
      <c r="DC34" s="1" t="s">
        <v>1</v>
      </c>
      <c r="DD34" s="7">
        <v>1</v>
      </c>
      <c r="DE34" s="9" t="str">
        <f t="shared" si="128"/>
        <v/>
      </c>
      <c r="DF34" s="3">
        <v>2</v>
      </c>
      <c r="DG34" s="1" t="s">
        <v>1</v>
      </c>
      <c r="DH34" s="7">
        <v>2</v>
      </c>
      <c r="DI34" s="9" t="str">
        <f t="shared" si="129"/>
        <v/>
      </c>
    </row>
    <row r="35" spans="2:113" x14ac:dyDescent="0.3">
      <c r="B35" s="12">
        <v>46198</v>
      </c>
      <c r="C35" s="7" t="s">
        <v>73</v>
      </c>
      <c r="D35" s="3" t="s">
        <v>28</v>
      </c>
      <c r="E35" s="1" t="s">
        <v>1</v>
      </c>
      <c r="F35" s="5" t="s">
        <v>29</v>
      </c>
      <c r="G35" s="3"/>
      <c r="H35" s="1" t="s">
        <v>1</v>
      </c>
      <c r="I35" s="5"/>
      <c r="J35" s="3">
        <v>1</v>
      </c>
      <c r="K35" s="1" t="s">
        <v>1</v>
      </c>
      <c r="L35" s="7">
        <v>3</v>
      </c>
      <c r="M35" s="9" t="str">
        <f t="shared" si="104"/>
        <v/>
      </c>
      <c r="N35" s="3">
        <v>0</v>
      </c>
      <c r="O35" s="1" t="s">
        <v>1</v>
      </c>
      <c r="P35" s="7">
        <v>2</v>
      </c>
      <c r="Q35" s="9" t="str">
        <f t="shared" si="105"/>
        <v/>
      </c>
      <c r="R35" s="3">
        <v>0</v>
      </c>
      <c r="S35" s="1" t="s">
        <v>1</v>
      </c>
      <c r="T35" s="7">
        <v>2</v>
      </c>
      <c r="U35" s="9" t="str">
        <f t="shared" si="106"/>
        <v/>
      </c>
      <c r="V35" s="3">
        <v>0</v>
      </c>
      <c r="W35" s="1" t="s">
        <v>1</v>
      </c>
      <c r="X35" s="7">
        <v>2</v>
      </c>
      <c r="Y35" s="9" t="str">
        <f t="shared" si="107"/>
        <v/>
      </c>
      <c r="Z35" s="3">
        <v>0</v>
      </c>
      <c r="AA35" s="1" t="s">
        <v>1</v>
      </c>
      <c r="AB35" s="7">
        <v>3</v>
      </c>
      <c r="AC35" s="9" t="str">
        <f t="shared" si="108"/>
        <v/>
      </c>
      <c r="AD35" s="3">
        <v>1</v>
      </c>
      <c r="AE35" s="1" t="s">
        <v>1</v>
      </c>
      <c r="AF35" s="7">
        <v>2</v>
      </c>
      <c r="AG35" s="9" t="str">
        <f t="shared" si="109"/>
        <v/>
      </c>
      <c r="AH35" s="3">
        <v>0</v>
      </c>
      <c r="AI35" s="1" t="s">
        <v>1</v>
      </c>
      <c r="AJ35" s="7">
        <v>2</v>
      </c>
      <c r="AK35" s="9" t="str">
        <f t="shared" si="110"/>
        <v/>
      </c>
      <c r="AL35" s="3">
        <v>0</v>
      </c>
      <c r="AM35" s="1" t="s">
        <v>1</v>
      </c>
      <c r="AN35" s="7">
        <v>1</v>
      </c>
      <c r="AO35" s="9" t="str">
        <f t="shared" si="111"/>
        <v/>
      </c>
      <c r="AP35" s="3">
        <v>1</v>
      </c>
      <c r="AQ35" s="1" t="s">
        <v>1</v>
      </c>
      <c r="AR35" s="7">
        <v>2</v>
      </c>
      <c r="AS35" s="9" t="str">
        <f t="shared" si="112"/>
        <v/>
      </c>
      <c r="AT35" s="3">
        <v>0</v>
      </c>
      <c r="AU35" s="1" t="s">
        <v>1</v>
      </c>
      <c r="AV35" s="7">
        <v>0</v>
      </c>
      <c r="AW35" s="9" t="str">
        <f t="shared" si="113"/>
        <v/>
      </c>
      <c r="AX35" s="3">
        <v>1</v>
      </c>
      <c r="AY35" s="1" t="s">
        <v>1</v>
      </c>
      <c r="AZ35" s="7">
        <v>1</v>
      </c>
      <c r="BA35" s="9" t="str">
        <f t="shared" si="114"/>
        <v/>
      </c>
      <c r="BB35" s="3">
        <v>0</v>
      </c>
      <c r="BC35" s="1" t="s">
        <v>1</v>
      </c>
      <c r="BD35" s="7">
        <v>3</v>
      </c>
      <c r="BE35" s="9" t="str">
        <f t="shared" si="115"/>
        <v/>
      </c>
      <c r="BF35" s="3">
        <v>0</v>
      </c>
      <c r="BG35" s="1" t="s">
        <v>1</v>
      </c>
      <c r="BH35" s="7">
        <v>3</v>
      </c>
      <c r="BI35" s="9" t="str">
        <f t="shared" si="116"/>
        <v/>
      </c>
      <c r="BJ35" s="3">
        <v>1</v>
      </c>
      <c r="BK35" s="1" t="s">
        <v>1</v>
      </c>
      <c r="BL35" s="7">
        <v>2</v>
      </c>
      <c r="BM35" s="9" t="str">
        <f t="shared" si="117"/>
        <v/>
      </c>
      <c r="BN35" s="3">
        <v>0</v>
      </c>
      <c r="BO35" s="1" t="s">
        <v>1</v>
      </c>
      <c r="BP35" s="7">
        <v>2</v>
      </c>
      <c r="BQ35" s="9" t="str">
        <f t="shared" si="118"/>
        <v/>
      </c>
      <c r="BR35" s="3">
        <v>0</v>
      </c>
      <c r="BS35" s="1" t="s">
        <v>1</v>
      </c>
      <c r="BT35" s="7">
        <v>6</v>
      </c>
      <c r="BU35" s="9" t="str">
        <f t="shared" si="119"/>
        <v/>
      </c>
      <c r="BV35" s="3">
        <v>1</v>
      </c>
      <c r="BW35" s="1" t="s">
        <v>1</v>
      </c>
      <c r="BX35" s="7">
        <v>3</v>
      </c>
      <c r="BY35" s="9" t="str">
        <f t="shared" si="120"/>
        <v/>
      </c>
      <c r="BZ35" s="3">
        <v>2</v>
      </c>
      <c r="CA35" s="1" t="s">
        <v>1</v>
      </c>
      <c r="CB35" s="7">
        <v>2</v>
      </c>
      <c r="CC35" s="9" t="str">
        <f t="shared" si="121"/>
        <v/>
      </c>
      <c r="CD35" s="3">
        <v>0</v>
      </c>
      <c r="CE35" s="1" t="s">
        <v>1</v>
      </c>
      <c r="CF35" s="7">
        <v>2</v>
      </c>
      <c r="CG35" s="9" t="str">
        <f t="shared" si="122"/>
        <v/>
      </c>
      <c r="CH35" s="3">
        <v>0</v>
      </c>
      <c r="CI35" s="1" t="s">
        <v>1</v>
      </c>
      <c r="CJ35" s="7">
        <v>3</v>
      </c>
      <c r="CK35" s="9" t="str">
        <f t="shared" si="123"/>
        <v/>
      </c>
      <c r="CL35" s="3">
        <v>1</v>
      </c>
      <c r="CM35" s="1" t="s">
        <v>1</v>
      </c>
      <c r="CN35" s="7">
        <v>2</v>
      </c>
      <c r="CO35" s="9" t="str">
        <f t="shared" si="124"/>
        <v/>
      </c>
      <c r="CP35" s="3">
        <v>0</v>
      </c>
      <c r="CQ35" s="1" t="s">
        <v>1</v>
      </c>
      <c r="CR35" s="7">
        <v>4</v>
      </c>
      <c r="CS35" s="9" t="str">
        <f t="shared" si="125"/>
        <v/>
      </c>
      <c r="CT35" s="3">
        <v>0</v>
      </c>
      <c r="CU35" s="1" t="s">
        <v>1</v>
      </c>
      <c r="CV35" s="7">
        <v>2</v>
      </c>
      <c r="CW35" s="9" t="str">
        <f t="shared" si="126"/>
        <v/>
      </c>
      <c r="CX35" s="3">
        <v>0</v>
      </c>
      <c r="CY35" s="1" t="s">
        <v>1</v>
      </c>
      <c r="CZ35" s="7">
        <v>3</v>
      </c>
      <c r="DA35" s="9" t="str">
        <f t="shared" si="127"/>
        <v/>
      </c>
      <c r="DB35" s="3">
        <v>0</v>
      </c>
      <c r="DC35" s="1" t="s">
        <v>1</v>
      </c>
      <c r="DD35" s="7">
        <v>4</v>
      </c>
      <c r="DE35" s="9" t="str">
        <f t="shared" si="128"/>
        <v/>
      </c>
      <c r="DF35" s="3">
        <v>0</v>
      </c>
      <c r="DG35" s="1" t="s">
        <v>1</v>
      </c>
      <c r="DH35" s="7">
        <v>1</v>
      </c>
      <c r="DI35" s="9" t="str">
        <f t="shared" si="129"/>
        <v/>
      </c>
    </row>
    <row r="36" spans="2:113" ht="15" thickBot="1" x14ac:dyDescent="0.35">
      <c r="B36" s="13">
        <v>46198</v>
      </c>
      <c r="C36" s="8" t="s">
        <v>73</v>
      </c>
      <c r="D36" s="4" t="s">
        <v>30</v>
      </c>
      <c r="E36" s="2" t="s">
        <v>1</v>
      </c>
      <c r="F36" s="6" t="s">
        <v>27</v>
      </c>
      <c r="G36" s="4"/>
      <c r="H36" s="2" t="s">
        <v>1</v>
      </c>
      <c r="I36" s="6"/>
      <c r="J36" s="4">
        <v>1</v>
      </c>
      <c r="K36" s="2" t="s">
        <v>1</v>
      </c>
      <c r="L36" s="8">
        <v>1</v>
      </c>
      <c r="M36" s="10" t="str">
        <f t="shared" si="104"/>
        <v/>
      </c>
      <c r="N36" s="4">
        <v>0</v>
      </c>
      <c r="O36" s="2" t="s">
        <v>1</v>
      </c>
      <c r="P36" s="8">
        <v>2</v>
      </c>
      <c r="Q36" s="10" t="str">
        <f t="shared" si="105"/>
        <v/>
      </c>
      <c r="R36" s="4">
        <v>1</v>
      </c>
      <c r="S36" s="2" t="s">
        <v>1</v>
      </c>
      <c r="T36" s="8">
        <v>3</v>
      </c>
      <c r="U36" s="10" t="str">
        <f t="shared" si="106"/>
        <v/>
      </c>
      <c r="V36" s="4">
        <v>0</v>
      </c>
      <c r="W36" s="2" t="s">
        <v>1</v>
      </c>
      <c r="X36" s="8">
        <v>2</v>
      </c>
      <c r="Y36" s="10" t="str">
        <f t="shared" si="107"/>
        <v/>
      </c>
      <c r="Z36" s="4">
        <v>0</v>
      </c>
      <c r="AA36" s="2" t="s">
        <v>1</v>
      </c>
      <c r="AB36" s="8">
        <v>3</v>
      </c>
      <c r="AC36" s="10" t="str">
        <f t="shared" si="108"/>
        <v/>
      </c>
      <c r="AD36" s="4">
        <v>1</v>
      </c>
      <c r="AE36" s="2" t="s">
        <v>1</v>
      </c>
      <c r="AF36" s="8">
        <v>2</v>
      </c>
      <c r="AG36" s="10" t="str">
        <f t="shared" si="109"/>
        <v/>
      </c>
      <c r="AH36" s="4">
        <v>0</v>
      </c>
      <c r="AI36" s="2" t="s">
        <v>1</v>
      </c>
      <c r="AJ36" s="8">
        <v>2</v>
      </c>
      <c r="AK36" s="10" t="str">
        <f t="shared" si="110"/>
        <v/>
      </c>
      <c r="AL36" s="4">
        <v>0</v>
      </c>
      <c r="AM36" s="2" t="s">
        <v>1</v>
      </c>
      <c r="AN36" s="8">
        <v>1</v>
      </c>
      <c r="AO36" s="10" t="str">
        <f t="shared" si="111"/>
        <v/>
      </c>
      <c r="AP36" s="4">
        <v>0</v>
      </c>
      <c r="AQ36" s="2" t="s">
        <v>1</v>
      </c>
      <c r="AR36" s="8">
        <v>2</v>
      </c>
      <c r="AS36" s="10" t="str">
        <f t="shared" si="112"/>
        <v/>
      </c>
      <c r="AT36" s="4">
        <v>0</v>
      </c>
      <c r="AU36" s="2" t="s">
        <v>1</v>
      </c>
      <c r="AV36" s="8">
        <v>2</v>
      </c>
      <c r="AW36" s="10" t="str">
        <f t="shared" si="113"/>
        <v/>
      </c>
      <c r="AX36" s="4">
        <v>1</v>
      </c>
      <c r="AY36" s="2" t="s">
        <v>1</v>
      </c>
      <c r="AZ36" s="8">
        <v>2</v>
      </c>
      <c r="BA36" s="10" t="str">
        <f t="shared" si="114"/>
        <v/>
      </c>
      <c r="BB36" s="4">
        <v>1</v>
      </c>
      <c r="BC36" s="2" t="s">
        <v>1</v>
      </c>
      <c r="BD36" s="8">
        <v>1</v>
      </c>
      <c r="BE36" s="10" t="str">
        <f t="shared" si="115"/>
        <v/>
      </c>
      <c r="BF36" s="4">
        <v>1</v>
      </c>
      <c r="BG36" s="2" t="s">
        <v>1</v>
      </c>
      <c r="BH36" s="8">
        <v>3</v>
      </c>
      <c r="BI36" s="10" t="str">
        <f t="shared" si="116"/>
        <v/>
      </c>
      <c r="BJ36" s="4">
        <v>1</v>
      </c>
      <c r="BK36" s="2" t="s">
        <v>1</v>
      </c>
      <c r="BL36" s="8">
        <v>2</v>
      </c>
      <c r="BM36" s="10" t="str">
        <f t="shared" si="117"/>
        <v/>
      </c>
      <c r="BN36" s="4">
        <v>1</v>
      </c>
      <c r="BO36" s="2" t="s">
        <v>1</v>
      </c>
      <c r="BP36" s="8">
        <v>2</v>
      </c>
      <c r="BQ36" s="10" t="str">
        <f t="shared" si="118"/>
        <v/>
      </c>
      <c r="BR36" s="4">
        <v>1</v>
      </c>
      <c r="BS36" s="2" t="s">
        <v>1</v>
      </c>
      <c r="BT36" s="8">
        <v>1</v>
      </c>
      <c r="BU36" s="10" t="str">
        <f t="shared" si="119"/>
        <v/>
      </c>
      <c r="BV36" s="4">
        <v>1</v>
      </c>
      <c r="BW36" s="2" t="s">
        <v>1</v>
      </c>
      <c r="BX36" s="8">
        <v>1</v>
      </c>
      <c r="BY36" s="10" t="str">
        <f t="shared" si="120"/>
        <v/>
      </c>
      <c r="BZ36" s="4">
        <v>1</v>
      </c>
      <c r="CA36" s="2" t="s">
        <v>1</v>
      </c>
      <c r="CB36" s="8">
        <v>2</v>
      </c>
      <c r="CC36" s="10" t="str">
        <f t="shared" si="121"/>
        <v/>
      </c>
      <c r="CD36" s="4">
        <v>0</v>
      </c>
      <c r="CE36" s="2" t="s">
        <v>1</v>
      </c>
      <c r="CF36" s="8">
        <v>2</v>
      </c>
      <c r="CG36" s="10" t="str">
        <f t="shared" si="122"/>
        <v/>
      </c>
      <c r="CH36" s="4">
        <v>1</v>
      </c>
      <c r="CI36" s="2" t="s">
        <v>1</v>
      </c>
      <c r="CJ36" s="8">
        <v>3</v>
      </c>
      <c r="CK36" s="10" t="str">
        <f t="shared" si="123"/>
        <v/>
      </c>
      <c r="CL36" s="4">
        <v>1</v>
      </c>
      <c r="CM36" s="2" t="s">
        <v>1</v>
      </c>
      <c r="CN36" s="8">
        <v>2</v>
      </c>
      <c r="CO36" s="10" t="str">
        <f t="shared" si="124"/>
        <v/>
      </c>
      <c r="CP36" s="4">
        <v>2</v>
      </c>
      <c r="CQ36" s="2" t="s">
        <v>1</v>
      </c>
      <c r="CR36" s="8">
        <v>3</v>
      </c>
      <c r="CS36" s="10" t="str">
        <f t="shared" si="125"/>
        <v/>
      </c>
      <c r="CT36" s="4">
        <v>1</v>
      </c>
      <c r="CU36" s="2" t="s">
        <v>1</v>
      </c>
      <c r="CV36" s="8">
        <v>3</v>
      </c>
      <c r="CW36" s="10" t="str">
        <f t="shared" si="126"/>
        <v/>
      </c>
      <c r="CX36" s="4">
        <v>1</v>
      </c>
      <c r="CY36" s="2" t="s">
        <v>1</v>
      </c>
      <c r="CZ36" s="8">
        <v>2</v>
      </c>
      <c r="DA36" s="10" t="str">
        <f t="shared" si="127"/>
        <v/>
      </c>
      <c r="DB36" s="4">
        <v>0</v>
      </c>
      <c r="DC36" s="2" t="s">
        <v>1</v>
      </c>
      <c r="DD36" s="8">
        <v>5</v>
      </c>
      <c r="DE36" s="10" t="str">
        <f t="shared" si="128"/>
        <v/>
      </c>
      <c r="DF36" s="4">
        <v>0</v>
      </c>
      <c r="DG36" s="2" t="s">
        <v>1</v>
      </c>
      <c r="DH36" s="8">
        <v>2</v>
      </c>
      <c r="DI36" s="10" t="str">
        <f t="shared" si="129"/>
        <v/>
      </c>
    </row>
    <row r="37" spans="2:113" ht="15" thickBot="1" x14ac:dyDescent="0.35">
      <c r="B37" s="51" t="s">
        <v>77</v>
      </c>
      <c r="C37" s="52" t="s">
        <v>78</v>
      </c>
      <c r="D37" s="157" t="s">
        <v>12</v>
      </c>
      <c r="E37" s="158"/>
      <c r="F37" s="159"/>
      <c r="G37" s="53" t="s">
        <v>7</v>
      </c>
      <c r="H37" s="54"/>
      <c r="I37" s="55"/>
      <c r="J37" s="61"/>
      <c r="K37" s="62"/>
      <c r="L37" s="62"/>
      <c r="M37" s="63"/>
      <c r="N37" s="64"/>
      <c r="O37" s="65"/>
      <c r="P37" s="65"/>
      <c r="Q37" s="66"/>
      <c r="R37" s="67"/>
      <c r="S37" s="68"/>
      <c r="T37" s="68"/>
      <c r="U37" s="69"/>
      <c r="V37" s="109"/>
      <c r="W37" s="110"/>
      <c r="X37" s="110"/>
      <c r="Y37" s="111"/>
      <c r="Z37" s="70"/>
      <c r="AA37" s="71"/>
      <c r="AB37" s="71"/>
      <c r="AC37" s="72"/>
      <c r="AD37" s="73"/>
      <c r="AE37" s="74"/>
      <c r="AF37" s="74"/>
      <c r="AG37" s="75"/>
      <c r="AH37" s="76"/>
      <c r="AI37" s="77"/>
      <c r="AJ37" s="77"/>
      <c r="AK37" s="78"/>
      <c r="AL37" s="79"/>
      <c r="AM37" s="80"/>
      <c r="AN37" s="80"/>
      <c r="AO37" s="81"/>
      <c r="AP37" s="41"/>
      <c r="AQ37" s="42"/>
      <c r="AR37" s="42"/>
      <c r="AS37" s="43"/>
      <c r="AT37" s="82"/>
      <c r="AU37" s="83"/>
      <c r="AV37" s="83"/>
      <c r="AW37" s="84"/>
      <c r="AX37" s="85"/>
      <c r="AY37" s="86"/>
      <c r="AZ37" s="86"/>
      <c r="BA37" s="87"/>
      <c r="BB37" s="88"/>
      <c r="BC37" s="89"/>
      <c r="BD37" s="89"/>
      <c r="BE37" s="90"/>
      <c r="BF37" s="91"/>
      <c r="BG37" s="92"/>
      <c r="BH37" s="92"/>
      <c r="BI37" s="93"/>
      <c r="BJ37" s="94"/>
      <c r="BK37" s="95"/>
      <c r="BL37" s="95"/>
      <c r="BM37" s="96"/>
      <c r="BN37" s="34"/>
      <c r="BO37" s="36"/>
      <c r="BP37" s="36"/>
      <c r="BQ37" s="35"/>
      <c r="BR37" s="79"/>
      <c r="BS37" s="80"/>
      <c r="BT37" s="80"/>
      <c r="BU37" s="81"/>
      <c r="BV37" s="97"/>
      <c r="BW37" s="98"/>
      <c r="BX37" s="98"/>
      <c r="BY37" s="99"/>
      <c r="BZ37" s="41"/>
      <c r="CA37" s="42"/>
      <c r="CB37" s="42"/>
      <c r="CC37" s="43"/>
      <c r="CD37" s="100"/>
      <c r="CE37" s="101"/>
      <c r="CF37" s="101"/>
      <c r="CG37" s="102"/>
      <c r="CH37" s="103"/>
      <c r="CI37" s="104"/>
      <c r="CJ37" s="104"/>
      <c r="CK37" s="105"/>
      <c r="CL37" s="109"/>
      <c r="CM37" s="110"/>
      <c r="CN37" s="110"/>
      <c r="CO37" s="111"/>
      <c r="CP37" s="106"/>
      <c r="CQ37" s="107"/>
      <c r="CR37" s="107"/>
      <c r="CS37" s="108"/>
      <c r="CT37" s="85"/>
      <c r="CU37" s="86"/>
      <c r="CV37" s="86"/>
      <c r="CW37" s="87"/>
      <c r="CX37" s="133"/>
      <c r="CY37" s="134"/>
      <c r="CZ37" s="134"/>
      <c r="DA37" s="135"/>
      <c r="DB37" s="137"/>
      <c r="DC37" s="138"/>
      <c r="DD37" s="138"/>
      <c r="DE37" s="139"/>
      <c r="DF37" s="53"/>
      <c r="DG37" s="54"/>
      <c r="DH37" s="54"/>
      <c r="DI37" s="55"/>
    </row>
    <row r="38" spans="2:113" x14ac:dyDescent="0.3">
      <c r="B38" s="12">
        <v>46187</v>
      </c>
      <c r="C38" s="7" t="s">
        <v>73</v>
      </c>
      <c r="D38" s="3" t="s">
        <v>31</v>
      </c>
      <c r="E38" s="1" t="s">
        <v>1</v>
      </c>
      <c r="F38" s="5" t="s">
        <v>32</v>
      </c>
      <c r="G38" s="3"/>
      <c r="H38" s="1" t="s">
        <v>1</v>
      </c>
      <c r="I38" s="5"/>
      <c r="J38" s="3">
        <v>1</v>
      </c>
      <c r="K38" s="1" t="s">
        <v>1</v>
      </c>
      <c r="L38" s="7">
        <v>1</v>
      </c>
      <c r="M38" s="11" t="str">
        <f>IF(ISBLANK($I38)=TRUE,"",IF(SIGN(J38-L38)=SIGN($G38-$I38),1,0)+IF(J38=$G38,IF(L38=$I38,2,0),0))</f>
        <v/>
      </c>
      <c r="N38" s="3">
        <v>2</v>
      </c>
      <c r="O38" s="1" t="s">
        <v>1</v>
      </c>
      <c r="P38" s="7">
        <v>1</v>
      </c>
      <c r="Q38" s="11" t="str">
        <f>IF(ISBLANK($I38)=TRUE,"",IF(SIGN(N38-P38)=SIGN($G38-$I38),1,0)+IF(N38=$G38,IF(P38=$I38,2,0),0))</f>
        <v/>
      </c>
      <c r="R38" s="3">
        <v>2</v>
      </c>
      <c r="S38" s="1" t="s">
        <v>1</v>
      </c>
      <c r="T38" s="7">
        <v>2</v>
      </c>
      <c r="U38" s="11" t="str">
        <f>IF(ISBLANK($I38)=TRUE,"",IF(SIGN(R38-T38)=SIGN($G38-$I38),1,0)+IF(R38=$G38,IF(T38=$I38,2,0),0))</f>
        <v/>
      </c>
      <c r="V38" s="3">
        <v>3</v>
      </c>
      <c r="W38" s="1" t="s">
        <v>1</v>
      </c>
      <c r="X38" s="7">
        <v>1</v>
      </c>
      <c r="Y38" s="11" t="str">
        <f>IF(ISBLANK($I38)=TRUE,"",IF(SIGN(V38-X38)=SIGN($G38-$I38),1,0)+IF(V38=$G38,IF(X38=$I38,2,0),0))</f>
        <v/>
      </c>
      <c r="Z38" s="3">
        <v>2</v>
      </c>
      <c r="AA38" s="1" t="s">
        <v>1</v>
      </c>
      <c r="AB38" s="7">
        <v>1</v>
      </c>
      <c r="AC38" s="11" t="str">
        <f>IF(ISBLANK($I38)=TRUE,"",IF(SIGN(Z38-AB38)=SIGN($G38-$I38),1,0)+IF(Z38=$G38,IF(AB38=$I38,2,0),0))</f>
        <v/>
      </c>
      <c r="AD38" s="3">
        <v>1</v>
      </c>
      <c r="AE38" s="1" t="s">
        <v>1</v>
      </c>
      <c r="AF38" s="7">
        <v>1</v>
      </c>
      <c r="AG38" s="11" t="str">
        <f>IF(ISBLANK($I38)=TRUE,"",IF(SIGN(AD38-AF38)=SIGN($G38-$I38),1,0)+IF(AD38=$G38,IF(AF38=$I38,2,0),0))</f>
        <v/>
      </c>
      <c r="AH38" s="3">
        <v>2</v>
      </c>
      <c r="AI38" s="1" t="s">
        <v>1</v>
      </c>
      <c r="AJ38" s="7">
        <v>0</v>
      </c>
      <c r="AK38" s="11" t="str">
        <f>IF(ISBLANK($I38)=TRUE,"",IF(SIGN(AH38-AJ38)=SIGN($G38-$I38),1,0)+IF(AH38=$G38,IF(AJ38=$I38,2,0),0))</f>
        <v/>
      </c>
      <c r="AL38" s="3">
        <v>1</v>
      </c>
      <c r="AM38" s="1" t="s">
        <v>1</v>
      </c>
      <c r="AN38" s="7">
        <v>0</v>
      </c>
      <c r="AO38" s="11" t="str">
        <f>IF(ISBLANK($I38)=TRUE,"",IF(SIGN(AL38-AN38)=SIGN($G38-$I38),1,0)+IF(AL38=$G38,IF(AN38=$I38,2,0),0))</f>
        <v/>
      </c>
      <c r="AP38" s="3">
        <v>3</v>
      </c>
      <c r="AQ38" s="1" t="s">
        <v>1</v>
      </c>
      <c r="AR38" s="7">
        <v>0</v>
      </c>
      <c r="AS38" s="11" t="str">
        <f>IF(ISBLANK($I38)=TRUE,"",IF(SIGN(AP38-AR38)=SIGN($G38-$I38),1,0)+IF(AP38=$G38,IF(AR38=$I38,2,0),0))</f>
        <v/>
      </c>
      <c r="AT38" s="3">
        <v>2</v>
      </c>
      <c r="AU38" s="1" t="s">
        <v>1</v>
      </c>
      <c r="AV38" s="7">
        <v>0</v>
      </c>
      <c r="AW38" s="11" t="str">
        <f>IF(ISBLANK($I38)=TRUE,"",IF(SIGN(AT38-AV38)=SIGN($G38-$I38),1,0)+IF(AT38=$G38,IF(AV38=$I38,2,0),0))</f>
        <v/>
      </c>
      <c r="AX38" s="3">
        <v>2</v>
      </c>
      <c r="AY38" s="1" t="s">
        <v>1</v>
      </c>
      <c r="AZ38" s="7">
        <v>0</v>
      </c>
      <c r="BA38" s="11" t="str">
        <f>IF(ISBLANK($I38)=TRUE,"",IF(SIGN(AX38-AZ38)=SIGN($G38-$I38),1,0)+IF(AX38=$G38,IF(AZ38=$I38,2,0),0))</f>
        <v/>
      </c>
      <c r="BB38" s="3">
        <v>1</v>
      </c>
      <c r="BC38" s="1" t="s">
        <v>1</v>
      </c>
      <c r="BD38" s="7">
        <v>1</v>
      </c>
      <c r="BE38" s="11" t="str">
        <f>IF(ISBLANK($I38)=TRUE,"",IF(SIGN(BB38-BD38)=SIGN($G38-$I38),1,0)+IF(BB38=$G38,IF(BD38=$I38,2,0),0))</f>
        <v/>
      </c>
      <c r="BF38" s="3">
        <v>0</v>
      </c>
      <c r="BG38" s="1" t="s">
        <v>1</v>
      </c>
      <c r="BH38" s="7">
        <v>1</v>
      </c>
      <c r="BI38" s="11" t="str">
        <f>IF(ISBLANK($I38)=TRUE,"",IF(SIGN(BF38-BH38)=SIGN($G38-$I38),1,0)+IF(BF38=$G38,IF(BH38=$I38,2,0),0))</f>
        <v/>
      </c>
      <c r="BJ38" s="3">
        <v>0</v>
      </c>
      <c r="BK38" s="1" t="s">
        <v>1</v>
      </c>
      <c r="BL38" s="7">
        <v>1</v>
      </c>
      <c r="BM38" s="11" t="str">
        <f>IF(ISBLANK($I38)=TRUE,"",IF(SIGN(BJ38-BL38)=SIGN($G38-$I38),1,0)+IF(BJ38=$G38,IF(BL38=$I38,2,0),0))</f>
        <v/>
      </c>
      <c r="BN38" s="3">
        <v>2</v>
      </c>
      <c r="BO38" s="1" t="s">
        <v>1</v>
      </c>
      <c r="BP38" s="7">
        <v>1</v>
      </c>
      <c r="BQ38" s="11" t="str">
        <f>IF(ISBLANK($I38)=TRUE,"",IF(SIGN(BN38-BP38)=SIGN($G38-$I38),1,0)+IF(BN38=$G38,IF(BP38=$I38,2,0),0))</f>
        <v/>
      </c>
      <c r="BR38" s="3">
        <v>2</v>
      </c>
      <c r="BS38" s="1" t="s">
        <v>1</v>
      </c>
      <c r="BT38" s="7">
        <v>2</v>
      </c>
      <c r="BU38" s="11" t="str">
        <f>IF(ISBLANK($I38)=TRUE,"",IF(SIGN(BR38-BT38)=SIGN($G38-$I38),1,0)+IF(BR38=$G38,IF(BT38=$I38,2,0),0))</f>
        <v/>
      </c>
      <c r="BV38" s="3">
        <v>2</v>
      </c>
      <c r="BW38" s="1" t="s">
        <v>1</v>
      </c>
      <c r="BX38" s="7">
        <v>1</v>
      </c>
      <c r="BY38" s="11" t="str">
        <f>IF(ISBLANK($I38)=TRUE,"",IF(SIGN(BV38-BX38)=SIGN($G38-$I38),1,0)+IF(BV38=$G38,IF(BX38=$I38,2,0),0))</f>
        <v/>
      </c>
      <c r="BZ38" s="3">
        <v>3</v>
      </c>
      <c r="CA38" s="1" t="s">
        <v>1</v>
      </c>
      <c r="CB38" s="7">
        <v>0</v>
      </c>
      <c r="CC38" s="11" t="str">
        <f>IF(ISBLANK($I38)=TRUE,"",IF(SIGN(BZ38-CB38)=SIGN($G38-$I38),1,0)+IF(BZ38=$G38,IF(CB38=$I38,2,0),0))</f>
        <v/>
      </c>
      <c r="CD38" s="3">
        <v>2</v>
      </c>
      <c r="CE38" s="1" t="s">
        <v>1</v>
      </c>
      <c r="CF38" s="7">
        <v>1</v>
      </c>
      <c r="CG38" s="11" t="str">
        <f>IF(ISBLANK($I38)=TRUE,"",IF(SIGN(CD38-CF38)=SIGN($G38-$I38),1,0)+IF(CD38=$G38,IF(CF38=$I38,2,0),0))</f>
        <v/>
      </c>
      <c r="CH38" s="3">
        <v>3</v>
      </c>
      <c r="CI38" s="1" t="s">
        <v>1</v>
      </c>
      <c r="CJ38" s="7">
        <v>1</v>
      </c>
      <c r="CK38" s="11" t="str">
        <f>IF(ISBLANK($I38)=TRUE,"",IF(SIGN(CH38-CJ38)=SIGN($G38-$I38),1,0)+IF(CH38=$G38,IF(CJ38=$I38,2,0),0))</f>
        <v/>
      </c>
      <c r="CL38" s="3">
        <v>2</v>
      </c>
      <c r="CM38" s="1" t="s">
        <v>1</v>
      </c>
      <c r="CN38" s="7">
        <v>0</v>
      </c>
      <c r="CO38" s="11" t="str">
        <f>IF(ISBLANK($I38)=TRUE,"",IF(SIGN(CL38-CN38)=SIGN($G38-$I38),1,0)+IF(CL38=$G38,IF(CN38=$I38,2,0),0))</f>
        <v/>
      </c>
      <c r="CP38" s="3">
        <v>3</v>
      </c>
      <c r="CQ38" s="1" t="s">
        <v>1</v>
      </c>
      <c r="CR38" s="7">
        <v>1</v>
      </c>
      <c r="CS38" s="11" t="str">
        <f>IF(ISBLANK($I38)=TRUE,"",IF(SIGN(CP38-CR38)=SIGN($G38-$I38),1,0)+IF(CP38=$G38,IF(CR38=$I38,2,0),0))</f>
        <v/>
      </c>
      <c r="CT38" s="3">
        <v>2</v>
      </c>
      <c r="CU38" s="1" t="s">
        <v>1</v>
      </c>
      <c r="CV38" s="7">
        <v>0</v>
      </c>
      <c r="CW38" s="11" t="str">
        <f>IF(ISBLANK($I38)=TRUE,"",IF(SIGN(CT38-CV38)=SIGN($G38-$I38),1,0)+IF(CT38=$G38,IF(CV38=$I38,2,0),0))</f>
        <v/>
      </c>
      <c r="CX38" s="3">
        <v>2</v>
      </c>
      <c r="CY38" s="1" t="s">
        <v>1</v>
      </c>
      <c r="CZ38" s="7">
        <v>1</v>
      </c>
      <c r="DA38" s="11" t="str">
        <f>IF(ISBLANK($I38)=TRUE,"",IF(SIGN(CX38-CZ38)=SIGN($G38-$I38),1,0)+IF(CX38=$G38,IF(CZ38=$I38,2,0),0))</f>
        <v/>
      </c>
      <c r="DB38" s="3">
        <v>3</v>
      </c>
      <c r="DC38" s="1" t="s">
        <v>1</v>
      </c>
      <c r="DD38" s="7">
        <v>0</v>
      </c>
      <c r="DE38" s="11" t="str">
        <f>IF(ISBLANK($I38)=TRUE,"",IF(SIGN(DB38-DD38)=SIGN($G38-$I38),1,0)+IF(DB38=$G38,IF(DD38=$I38,2,0),0))</f>
        <v/>
      </c>
      <c r="DF38" s="3">
        <v>2</v>
      </c>
      <c r="DG38" s="1" t="s">
        <v>1</v>
      </c>
      <c r="DH38" s="7">
        <v>1</v>
      </c>
      <c r="DI38" s="11" t="str">
        <f>IF(ISBLANK($I38)=TRUE,"",IF(SIGN(DF38-DH38)=SIGN($G38-$I38),1,0)+IF(DF38=$G38,IF(DH38=$I38,2,0),0))</f>
        <v/>
      </c>
    </row>
    <row r="39" spans="2:113" x14ac:dyDescent="0.3">
      <c r="B39" s="12">
        <v>46188</v>
      </c>
      <c r="C39" s="7" t="s">
        <v>64</v>
      </c>
      <c r="D39" s="3" t="s">
        <v>33</v>
      </c>
      <c r="E39" s="1" t="s">
        <v>1</v>
      </c>
      <c r="F39" s="5" t="s">
        <v>34</v>
      </c>
      <c r="G39" s="3"/>
      <c r="H39" s="1" t="s">
        <v>1</v>
      </c>
      <c r="I39" s="5"/>
      <c r="J39" s="3">
        <v>1</v>
      </c>
      <c r="K39" s="1" t="s">
        <v>1</v>
      </c>
      <c r="L39" s="7">
        <v>2</v>
      </c>
      <c r="M39" s="9" t="str">
        <f t="shared" ref="M39:M43" si="130">IF(ISBLANK($G39)=TRUE,"",IF(SIGN(J39-L39)=SIGN($G39-$I39),1,0)+IF(J39=$G39,IF(L39=$I39,2,0),0))</f>
        <v/>
      </c>
      <c r="N39" s="3">
        <v>1</v>
      </c>
      <c r="O39" s="1" t="s">
        <v>1</v>
      </c>
      <c r="P39" s="7">
        <v>0</v>
      </c>
      <c r="Q39" s="9" t="str">
        <f t="shared" ref="Q39:Q43" si="131">IF(ISBLANK($G39)=TRUE,"",IF(SIGN(N39-P39)=SIGN($G39-$I39),1,0)+IF(N39=$G39,IF(P39=$I39,2,0),0))</f>
        <v/>
      </c>
      <c r="R39" s="3">
        <v>1</v>
      </c>
      <c r="S39" s="1" t="s">
        <v>1</v>
      </c>
      <c r="T39" s="7">
        <v>1</v>
      </c>
      <c r="U39" s="9" t="str">
        <f t="shared" ref="U39:U43" si="132">IF(ISBLANK($G39)=TRUE,"",IF(SIGN(R39-T39)=SIGN($G39-$I39),1,0)+IF(R39=$G39,IF(T39=$I39,2,0),0))</f>
        <v/>
      </c>
      <c r="V39" s="3">
        <v>0</v>
      </c>
      <c r="W39" s="1" t="s">
        <v>1</v>
      </c>
      <c r="X39" s="7">
        <v>0</v>
      </c>
      <c r="Y39" s="9" t="str">
        <f t="shared" ref="Y39:Y43" si="133">IF(ISBLANK($G39)=TRUE,"",IF(SIGN(V39-X39)=SIGN($G39-$I39),1,0)+IF(V39=$G39,IF(X39=$I39,2,0),0))</f>
        <v/>
      </c>
      <c r="Z39" s="3">
        <v>2</v>
      </c>
      <c r="AA39" s="1" t="s">
        <v>1</v>
      </c>
      <c r="AB39" s="7">
        <v>1</v>
      </c>
      <c r="AC39" s="9" t="str">
        <f t="shared" ref="AC39:AC43" si="134">IF(ISBLANK($G39)=TRUE,"",IF(SIGN(Z39-AB39)=SIGN($G39-$I39),1,0)+IF(Z39=$G39,IF(AB39=$I39,2,0),0))</f>
        <v/>
      </c>
      <c r="AD39" s="3">
        <v>2</v>
      </c>
      <c r="AE39" s="1" t="s">
        <v>1</v>
      </c>
      <c r="AF39" s="7">
        <v>1</v>
      </c>
      <c r="AG39" s="9" t="str">
        <f t="shared" ref="AG39:AG43" si="135">IF(ISBLANK($G39)=TRUE,"",IF(SIGN(AD39-AF39)=SIGN($G39-$I39),1,0)+IF(AD39=$G39,IF(AF39=$I39,2,0),0))</f>
        <v/>
      </c>
      <c r="AH39" s="3">
        <v>1</v>
      </c>
      <c r="AI39" s="1" t="s">
        <v>1</v>
      </c>
      <c r="AJ39" s="7">
        <v>1</v>
      </c>
      <c r="AK39" s="9" t="str">
        <f t="shared" ref="AK39:AK43" si="136">IF(ISBLANK($G39)=TRUE,"",IF(SIGN(AH39-AJ39)=SIGN($G39-$I39),1,0)+IF(AH39=$G39,IF(AJ39=$I39,2,0),0))</f>
        <v/>
      </c>
      <c r="AL39" s="3">
        <v>1</v>
      </c>
      <c r="AM39" s="1" t="s">
        <v>1</v>
      </c>
      <c r="AN39" s="7">
        <v>0</v>
      </c>
      <c r="AO39" s="9" t="str">
        <f t="shared" ref="AO39:AO43" si="137">IF(ISBLANK($G39)=TRUE,"",IF(SIGN(AL39-AN39)=SIGN($G39-$I39),1,0)+IF(AL39=$G39,IF(AN39=$I39,2,0),0))</f>
        <v/>
      </c>
      <c r="AP39" s="3">
        <v>2</v>
      </c>
      <c r="AQ39" s="1" t="s">
        <v>1</v>
      </c>
      <c r="AR39" s="7">
        <v>1</v>
      </c>
      <c r="AS39" s="9" t="str">
        <f t="shared" ref="AS39:AS43" si="138">IF(ISBLANK($G39)=TRUE,"",IF(SIGN(AP39-AR39)=SIGN($G39-$I39),1,0)+IF(AP39=$G39,IF(AR39=$I39,2,0),0))</f>
        <v/>
      </c>
      <c r="AT39" s="3">
        <v>1</v>
      </c>
      <c r="AU39" s="1" t="s">
        <v>1</v>
      </c>
      <c r="AV39" s="7">
        <v>0</v>
      </c>
      <c r="AW39" s="9" t="str">
        <f t="shared" ref="AW39:AW43" si="139">IF(ISBLANK($G39)=TRUE,"",IF(SIGN(AT39-AV39)=SIGN($G39-$I39),1,0)+IF(AT39=$G39,IF(AV39=$I39,2,0),0))</f>
        <v/>
      </c>
      <c r="AX39" s="3">
        <v>1</v>
      </c>
      <c r="AY39" s="1" t="s">
        <v>1</v>
      </c>
      <c r="AZ39" s="7">
        <v>0</v>
      </c>
      <c r="BA39" s="9" t="str">
        <f t="shared" ref="BA39:BA43" si="140">IF(ISBLANK($G39)=TRUE,"",IF(SIGN(AX39-AZ39)=SIGN($G39-$I39),1,0)+IF(AX39=$G39,IF(AZ39=$I39,2,0),0))</f>
        <v/>
      </c>
      <c r="BB39" s="3">
        <v>1</v>
      </c>
      <c r="BC39" s="1" t="s">
        <v>1</v>
      </c>
      <c r="BD39" s="7">
        <v>1</v>
      </c>
      <c r="BE39" s="9" t="str">
        <f t="shared" ref="BE39:BE43" si="141">IF(ISBLANK($G39)=TRUE,"",IF(SIGN(BB39-BD39)=SIGN($G39-$I39),1,0)+IF(BB39=$G39,IF(BD39=$I39,2,0),0))</f>
        <v/>
      </c>
      <c r="BF39" s="3">
        <v>0</v>
      </c>
      <c r="BG39" s="1" t="s">
        <v>1</v>
      </c>
      <c r="BH39" s="7">
        <v>1</v>
      </c>
      <c r="BI39" s="9" t="str">
        <f t="shared" ref="BI39:BI43" si="142">IF(ISBLANK($G39)=TRUE,"",IF(SIGN(BF39-BH39)=SIGN($G39-$I39),1,0)+IF(BF39=$G39,IF(BH39=$I39,2,0),0))</f>
        <v/>
      </c>
      <c r="BJ39" s="3">
        <v>0</v>
      </c>
      <c r="BK39" s="1" t="s">
        <v>1</v>
      </c>
      <c r="BL39" s="7">
        <v>0</v>
      </c>
      <c r="BM39" s="9" t="str">
        <f t="shared" ref="BM39:BM43" si="143">IF(ISBLANK($G39)=TRUE,"",IF(SIGN(BJ39-BL39)=SIGN($G39-$I39),1,0)+IF(BJ39=$G39,IF(BL39=$I39,2,0),0))</f>
        <v/>
      </c>
      <c r="BN39" s="3">
        <v>1</v>
      </c>
      <c r="BO39" s="1" t="s">
        <v>1</v>
      </c>
      <c r="BP39" s="7">
        <v>1</v>
      </c>
      <c r="BQ39" s="9" t="str">
        <f t="shared" ref="BQ39:BQ43" si="144">IF(ISBLANK($G39)=TRUE,"",IF(SIGN(BN39-BP39)=SIGN($G39-$I39),1,0)+IF(BN39=$G39,IF(BP39=$I39,2,0),0))</f>
        <v/>
      </c>
      <c r="BR39" s="3">
        <v>2</v>
      </c>
      <c r="BS39" s="1" t="s">
        <v>1</v>
      </c>
      <c r="BT39" s="7">
        <v>0</v>
      </c>
      <c r="BU39" s="9" t="str">
        <f t="shared" ref="BU39:BU43" si="145">IF(ISBLANK($G39)=TRUE,"",IF(SIGN(BR39-BT39)=SIGN($G39-$I39),1,0)+IF(BR39=$G39,IF(BT39=$I39,2,0),0))</f>
        <v/>
      </c>
      <c r="BV39" s="3">
        <v>0</v>
      </c>
      <c r="BW39" s="1" t="s">
        <v>1</v>
      </c>
      <c r="BX39" s="7">
        <v>0</v>
      </c>
      <c r="BY39" s="9" t="str">
        <f t="shared" ref="BY39:BY43" si="146">IF(ISBLANK($G39)=TRUE,"",IF(SIGN(BV39-BX39)=SIGN($G39-$I39),1,0)+IF(BV39=$G39,IF(BX39=$I39,2,0),0))</f>
        <v/>
      </c>
      <c r="BZ39" s="3">
        <v>1</v>
      </c>
      <c r="CA39" s="1" t="s">
        <v>1</v>
      </c>
      <c r="CB39" s="7">
        <v>1</v>
      </c>
      <c r="CC39" s="9" t="str">
        <f t="shared" ref="CC39:CC43" si="147">IF(ISBLANK($G39)=TRUE,"",IF(SIGN(BZ39-CB39)=SIGN($G39-$I39),1,0)+IF(BZ39=$G39,IF(CB39=$I39,2,0),0))</f>
        <v/>
      </c>
      <c r="CD39" s="3">
        <v>1</v>
      </c>
      <c r="CE39" s="1" t="s">
        <v>1</v>
      </c>
      <c r="CF39" s="7">
        <v>0</v>
      </c>
      <c r="CG39" s="9" t="str">
        <f t="shared" ref="CG39:CG43" si="148">IF(ISBLANK($G39)=TRUE,"",IF(SIGN(CD39-CF39)=SIGN($G39-$I39),1,0)+IF(CD39=$G39,IF(CF39=$I39,2,0),0))</f>
        <v/>
      </c>
      <c r="CH39" s="3">
        <v>2</v>
      </c>
      <c r="CI39" s="1" t="s">
        <v>1</v>
      </c>
      <c r="CJ39" s="7">
        <v>1</v>
      </c>
      <c r="CK39" s="9" t="str">
        <f t="shared" ref="CK39:CK43" si="149">IF(ISBLANK($G39)=TRUE,"",IF(SIGN(CH39-CJ39)=SIGN($G39-$I39),1,0)+IF(CH39=$G39,IF(CJ39=$I39,2,0),0))</f>
        <v/>
      </c>
      <c r="CL39" s="3">
        <v>1</v>
      </c>
      <c r="CM39" s="1" t="s">
        <v>1</v>
      </c>
      <c r="CN39" s="7">
        <v>0</v>
      </c>
      <c r="CO39" s="9" t="str">
        <f t="shared" ref="CO39:CO43" si="150">IF(ISBLANK($G39)=TRUE,"",IF(SIGN(CL39-CN39)=SIGN($G39-$I39),1,0)+IF(CL39=$G39,IF(CN39=$I39,2,0),0))</f>
        <v/>
      </c>
      <c r="CP39" s="3">
        <v>3</v>
      </c>
      <c r="CQ39" s="1" t="s">
        <v>1</v>
      </c>
      <c r="CR39" s="7">
        <v>1</v>
      </c>
      <c r="CS39" s="9" t="str">
        <f t="shared" ref="CS39:CS43" si="151">IF(ISBLANK($G39)=TRUE,"",IF(SIGN(CP39-CR39)=SIGN($G39-$I39),1,0)+IF(CP39=$G39,IF(CR39=$I39,2,0),0))</f>
        <v/>
      </c>
      <c r="CT39" s="3">
        <v>1</v>
      </c>
      <c r="CU39" s="1" t="s">
        <v>1</v>
      </c>
      <c r="CV39" s="7">
        <v>1</v>
      </c>
      <c r="CW39" s="9" t="str">
        <f t="shared" ref="CW39:CW43" si="152">IF(ISBLANK($G39)=TRUE,"",IF(SIGN(CT39-CV39)=SIGN($G39-$I39),1,0)+IF(CT39=$G39,IF(CV39=$I39,2,0),0))</f>
        <v/>
      </c>
      <c r="CX39" s="3">
        <v>1</v>
      </c>
      <c r="CY39" s="1" t="s">
        <v>1</v>
      </c>
      <c r="CZ39" s="7">
        <v>2</v>
      </c>
      <c r="DA39" s="9" t="str">
        <f t="shared" ref="DA39:DA43" si="153">IF(ISBLANK($G39)=TRUE,"",IF(SIGN(CX39-CZ39)=SIGN($G39-$I39),1,0)+IF(CX39=$G39,IF(CZ39=$I39,2,0),0))</f>
        <v/>
      </c>
      <c r="DB39" s="3">
        <v>2</v>
      </c>
      <c r="DC39" s="1" t="s">
        <v>1</v>
      </c>
      <c r="DD39" s="7">
        <v>0</v>
      </c>
      <c r="DE39" s="9" t="str">
        <f t="shared" ref="DE39:DE43" si="154">IF(ISBLANK($G39)=TRUE,"",IF(SIGN(DB39-DD39)=SIGN($G39-$I39),1,0)+IF(DB39=$G39,IF(DD39=$I39,2,0),0))</f>
        <v/>
      </c>
      <c r="DF39" s="3">
        <v>1</v>
      </c>
      <c r="DG39" s="1" t="s">
        <v>1</v>
      </c>
      <c r="DH39" s="7">
        <v>1</v>
      </c>
      <c r="DI39" s="9" t="str">
        <f t="shared" ref="DI39:DI43" si="155">IF(ISBLANK($G39)=TRUE,"",IF(SIGN(DF39-DH39)=SIGN($G39-$I39),1,0)+IF(DF39=$G39,IF(DH39=$I39,2,0),0))</f>
        <v/>
      </c>
    </row>
    <row r="40" spans="2:113" x14ac:dyDescent="0.3">
      <c r="B40" s="12">
        <v>46193</v>
      </c>
      <c r="C40" s="7" t="s">
        <v>71</v>
      </c>
      <c r="D40" s="3" t="s">
        <v>31</v>
      </c>
      <c r="E40" s="1" t="s">
        <v>1</v>
      </c>
      <c r="F40" s="5" t="s">
        <v>33</v>
      </c>
      <c r="G40" s="3"/>
      <c r="H40" s="1" t="s">
        <v>1</v>
      </c>
      <c r="I40" s="5"/>
      <c r="J40" s="3">
        <v>2</v>
      </c>
      <c r="K40" s="1" t="s">
        <v>1</v>
      </c>
      <c r="L40" s="7">
        <v>1</v>
      </c>
      <c r="M40" s="9" t="str">
        <f t="shared" si="130"/>
        <v/>
      </c>
      <c r="N40" s="3">
        <v>2</v>
      </c>
      <c r="O40" s="1" t="s">
        <v>1</v>
      </c>
      <c r="P40" s="7">
        <v>0</v>
      </c>
      <c r="Q40" s="9" t="str">
        <f t="shared" si="131"/>
        <v/>
      </c>
      <c r="R40" s="3">
        <v>3</v>
      </c>
      <c r="S40" s="1" t="s">
        <v>1</v>
      </c>
      <c r="T40" s="7">
        <v>0</v>
      </c>
      <c r="U40" s="9" t="str">
        <f t="shared" si="132"/>
        <v/>
      </c>
      <c r="V40" s="3">
        <v>2</v>
      </c>
      <c r="W40" s="1" t="s">
        <v>1</v>
      </c>
      <c r="X40" s="7">
        <v>0</v>
      </c>
      <c r="Y40" s="9" t="str">
        <f t="shared" si="133"/>
        <v/>
      </c>
      <c r="Z40" s="3">
        <v>1</v>
      </c>
      <c r="AA40" s="1" t="s">
        <v>1</v>
      </c>
      <c r="AB40" s="7">
        <v>1</v>
      </c>
      <c r="AC40" s="9" t="str">
        <f t="shared" si="134"/>
        <v/>
      </c>
      <c r="AD40" s="3">
        <v>2</v>
      </c>
      <c r="AE40" s="1" t="s">
        <v>1</v>
      </c>
      <c r="AF40" s="7">
        <v>0</v>
      </c>
      <c r="AG40" s="9" t="str">
        <f t="shared" si="135"/>
        <v/>
      </c>
      <c r="AH40" s="3">
        <v>2</v>
      </c>
      <c r="AI40" s="1" t="s">
        <v>1</v>
      </c>
      <c r="AJ40" s="7">
        <v>1</v>
      </c>
      <c r="AK40" s="9" t="str">
        <f t="shared" si="136"/>
        <v/>
      </c>
      <c r="AL40" s="3">
        <v>1</v>
      </c>
      <c r="AM40" s="1" t="s">
        <v>1</v>
      </c>
      <c r="AN40" s="7">
        <v>0</v>
      </c>
      <c r="AO40" s="9" t="str">
        <f t="shared" si="137"/>
        <v/>
      </c>
      <c r="AP40" s="3">
        <v>2</v>
      </c>
      <c r="AQ40" s="1" t="s">
        <v>1</v>
      </c>
      <c r="AR40" s="7">
        <v>1</v>
      </c>
      <c r="AS40" s="9" t="str">
        <f t="shared" si="138"/>
        <v/>
      </c>
      <c r="AT40" s="3">
        <v>2</v>
      </c>
      <c r="AU40" s="1" t="s">
        <v>1</v>
      </c>
      <c r="AV40" s="7">
        <v>2</v>
      </c>
      <c r="AW40" s="9" t="str">
        <f t="shared" si="139"/>
        <v/>
      </c>
      <c r="AX40" s="3">
        <v>3</v>
      </c>
      <c r="AY40" s="1" t="s">
        <v>1</v>
      </c>
      <c r="AZ40" s="7">
        <v>1</v>
      </c>
      <c r="BA40" s="9" t="str">
        <f t="shared" si="140"/>
        <v/>
      </c>
      <c r="BB40" s="3">
        <v>3</v>
      </c>
      <c r="BC40" s="1" t="s">
        <v>1</v>
      </c>
      <c r="BD40" s="7">
        <v>1</v>
      </c>
      <c r="BE40" s="9" t="str">
        <f t="shared" si="141"/>
        <v/>
      </c>
      <c r="BF40" s="3">
        <v>3</v>
      </c>
      <c r="BG40" s="1" t="s">
        <v>1</v>
      </c>
      <c r="BH40" s="7">
        <v>0</v>
      </c>
      <c r="BI40" s="9" t="str">
        <f t="shared" si="142"/>
        <v/>
      </c>
      <c r="BJ40" s="3">
        <v>1</v>
      </c>
      <c r="BK40" s="1" t="s">
        <v>1</v>
      </c>
      <c r="BL40" s="7">
        <v>1</v>
      </c>
      <c r="BM40" s="9" t="str">
        <f t="shared" si="143"/>
        <v/>
      </c>
      <c r="BN40" s="3">
        <v>2</v>
      </c>
      <c r="BO40" s="1" t="s">
        <v>1</v>
      </c>
      <c r="BP40" s="7">
        <v>0</v>
      </c>
      <c r="BQ40" s="9" t="str">
        <f t="shared" si="144"/>
        <v/>
      </c>
      <c r="BR40" s="3">
        <v>3</v>
      </c>
      <c r="BS40" s="1" t="s">
        <v>1</v>
      </c>
      <c r="BT40" s="7">
        <v>1</v>
      </c>
      <c r="BU40" s="9" t="str">
        <f t="shared" si="145"/>
        <v/>
      </c>
      <c r="BV40" s="3">
        <v>2</v>
      </c>
      <c r="BW40" s="1" t="s">
        <v>1</v>
      </c>
      <c r="BX40" s="7">
        <v>1</v>
      </c>
      <c r="BY40" s="9" t="str">
        <f t="shared" si="146"/>
        <v/>
      </c>
      <c r="BZ40" s="3">
        <v>2</v>
      </c>
      <c r="CA40" s="1" t="s">
        <v>1</v>
      </c>
      <c r="CB40" s="7">
        <v>0</v>
      </c>
      <c r="CC40" s="9" t="str">
        <f t="shared" si="147"/>
        <v/>
      </c>
      <c r="CD40" s="3">
        <v>2</v>
      </c>
      <c r="CE40" s="1" t="s">
        <v>1</v>
      </c>
      <c r="CF40" s="7">
        <v>0</v>
      </c>
      <c r="CG40" s="9" t="str">
        <f t="shared" si="148"/>
        <v/>
      </c>
      <c r="CH40" s="3">
        <v>3</v>
      </c>
      <c r="CI40" s="1" t="s">
        <v>1</v>
      </c>
      <c r="CJ40" s="7">
        <v>1</v>
      </c>
      <c r="CK40" s="9" t="str">
        <f t="shared" si="149"/>
        <v/>
      </c>
      <c r="CL40" s="3">
        <v>2</v>
      </c>
      <c r="CM40" s="1" t="s">
        <v>1</v>
      </c>
      <c r="CN40" s="7">
        <v>1</v>
      </c>
      <c r="CO40" s="9" t="str">
        <f t="shared" si="150"/>
        <v/>
      </c>
      <c r="CP40" s="3">
        <v>2</v>
      </c>
      <c r="CQ40" s="1" t="s">
        <v>1</v>
      </c>
      <c r="CR40" s="7">
        <v>2</v>
      </c>
      <c r="CS40" s="9" t="str">
        <f t="shared" si="151"/>
        <v/>
      </c>
      <c r="CT40" s="3">
        <v>2</v>
      </c>
      <c r="CU40" s="1" t="s">
        <v>1</v>
      </c>
      <c r="CV40" s="7">
        <v>1</v>
      </c>
      <c r="CW40" s="9" t="str">
        <f t="shared" si="152"/>
        <v/>
      </c>
      <c r="CX40" s="3">
        <v>2</v>
      </c>
      <c r="CY40" s="1" t="s">
        <v>1</v>
      </c>
      <c r="CZ40" s="7">
        <v>0</v>
      </c>
      <c r="DA40" s="9" t="str">
        <f t="shared" si="153"/>
        <v/>
      </c>
      <c r="DB40" s="3">
        <v>3</v>
      </c>
      <c r="DC40" s="1" t="s">
        <v>1</v>
      </c>
      <c r="DD40" s="7">
        <v>1</v>
      </c>
      <c r="DE40" s="9" t="str">
        <f t="shared" si="154"/>
        <v/>
      </c>
      <c r="DF40" s="3">
        <v>2</v>
      </c>
      <c r="DG40" s="1" t="s">
        <v>1</v>
      </c>
      <c r="DH40" s="7">
        <v>1</v>
      </c>
      <c r="DI40" s="9" t="str">
        <f t="shared" si="155"/>
        <v/>
      </c>
    </row>
    <row r="41" spans="2:113" x14ac:dyDescent="0.3">
      <c r="B41" s="12">
        <v>46194</v>
      </c>
      <c r="C41" s="7" t="s">
        <v>69</v>
      </c>
      <c r="D41" s="3" t="s">
        <v>34</v>
      </c>
      <c r="E41" s="1" t="s">
        <v>1</v>
      </c>
      <c r="F41" s="5" t="s">
        <v>32</v>
      </c>
      <c r="G41" s="3"/>
      <c r="H41" s="1" t="s">
        <v>1</v>
      </c>
      <c r="I41" s="5"/>
      <c r="J41" s="3">
        <v>1</v>
      </c>
      <c r="K41" s="1" t="s">
        <v>1</v>
      </c>
      <c r="L41" s="7">
        <v>1</v>
      </c>
      <c r="M41" s="9" t="str">
        <f t="shared" si="130"/>
        <v/>
      </c>
      <c r="N41" s="3">
        <v>1</v>
      </c>
      <c r="O41" s="1" t="s">
        <v>1</v>
      </c>
      <c r="P41" s="7">
        <v>2</v>
      </c>
      <c r="Q41" s="9" t="str">
        <f t="shared" si="131"/>
        <v/>
      </c>
      <c r="R41" s="3">
        <v>0</v>
      </c>
      <c r="S41" s="1" t="s">
        <v>1</v>
      </c>
      <c r="T41" s="7">
        <v>1</v>
      </c>
      <c r="U41" s="9" t="str">
        <f t="shared" si="132"/>
        <v/>
      </c>
      <c r="V41" s="3">
        <v>1</v>
      </c>
      <c r="W41" s="1" t="s">
        <v>1</v>
      </c>
      <c r="X41" s="7">
        <v>2</v>
      </c>
      <c r="Y41" s="9" t="str">
        <f t="shared" si="133"/>
        <v/>
      </c>
      <c r="Z41" s="3">
        <v>1</v>
      </c>
      <c r="AA41" s="1" t="s">
        <v>1</v>
      </c>
      <c r="AB41" s="7">
        <v>1</v>
      </c>
      <c r="AC41" s="9" t="str">
        <f t="shared" si="134"/>
        <v/>
      </c>
      <c r="AD41" s="3">
        <v>0</v>
      </c>
      <c r="AE41" s="1" t="s">
        <v>1</v>
      </c>
      <c r="AF41" s="7">
        <v>1</v>
      </c>
      <c r="AG41" s="9" t="str">
        <f t="shared" si="135"/>
        <v/>
      </c>
      <c r="AH41" s="3">
        <v>1</v>
      </c>
      <c r="AI41" s="1" t="s">
        <v>1</v>
      </c>
      <c r="AJ41" s="7">
        <v>1</v>
      </c>
      <c r="AK41" s="9" t="str">
        <f t="shared" si="136"/>
        <v/>
      </c>
      <c r="AL41" s="3">
        <v>0</v>
      </c>
      <c r="AM41" s="1" t="s">
        <v>1</v>
      </c>
      <c r="AN41" s="7">
        <v>1</v>
      </c>
      <c r="AO41" s="9" t="str">
        <f t="shared" si="137"/>
        <v/>
      </c>
      <c r="AP41" s="3">
        <v>0</v>
      </c>
      <c r="AQ41" s="1" t="s">
        <v>1</v>
      </c>
      <c r="AR41" s="7">
        <v>1</v>
      </c>
      <c r="AS41" s="9" t="str">
        <f t="shared" si="138"/>
        <v/>
      </c>
      <c r="AT41" s="3">
        <v>0</v>
      </c>
      <c r="AU41" s="1" t="s">
        <v>1</v>
      </c>
      <c r="AV41" s="7">
        <v>1</v>
      </c>
      <c r="AW41" s="9" t="str">
        <f t="shared" si="139"/>
        <v/>
      </c>
      <c r="AX41" s="3">
        <v>0</v>
      </c>
      <c r="AY41" s="1" t="s">
        <v>1</v>
      </c>
      <c r="AZ41" s="7">
        <v>2</v>
      </c>
      <c r="BA41" s="9" t="str">
        <f t="shared" si="140"/>
        <v/>
      </c>
      <c r="BB41" s="3">
        <v>1</v>
      </c>
      <c r="BC41" s="1" t="s">
        <v>1</v>
      </c>
      <c r="BD41" s="7">
        <v>2</v>
      </c>
      <c r="BE41" s="9" t="str">
        <f t="shared" si="141"/>
        <v/>
      </c>
      <c r="BF41" s="3">
        <v>1</v>
      </c>
      <c r="BG41" s="1" t="s">
        <v>1</v>
      </c>
      <c r="BH41" s="7">
        <v>1</v>
      </c>
      <c r="BI41" s="9" t="str">
        <f t="shared" si="142"/>
        <v/>
      </c>
      <c r="BJ41" s="3">
        <v>0</v>
      </c>
      <c r="BK41" s="1" t="s">
        <v>1</v>
      </c>
      <c r="BL41" s="7">
        <v>1</v>
      </c>
      <c r="BM41" s="9" t="str">
        <f t="shared" si="143"/>
        <v/>
      </c>
      <c r="BN41" s="3">
        <v>1</v>
      </c>
      <c r="BO41" s="1" t="s">
        <v>1</v>
      </c>
      <c r="BP41" s="7">
        <v>2</v>
      </c>
      <c r="BQ41" s="9" t="str">
        <f t="shared" si="144"/>
        <v/>
      </c>
      <c r="BR41" s="3">
        <v>1</v>
      </c>
      <c r="BS41" s="1" t="s">
        <v>1</v>
      </c>
      <c r="BT41" s="7">
        <v>2</v>
      </c>
      <c r="BU41" s="9" t="str">
        <f t="shared" si="145"/>
        <v/>
      </c>
      <c r="BV41" s="3">
        <v>2</v>
      </c>
      <c r="BW41" s="1" t="s">
        <v>1</v>
      </c>
      <c r="BX41" s="7">
        <v>2</v>
      </c>
      <c r="BY41" s="9" t="str">
        <f t="shared" si="146"/>
        <v/>
      </c>
      <c r="BZ41" s="3">
        <v>2</v>
      </c>
      <c r="CA41" s="1" t="s">
        <v>1</v>
      </c>
      <c r="CB41" s="7">
        <v>0</v>
      </c>
      <c r="CC41" s="9" t="str">
        <f t="shared" si="147"/>
        <v/>
      </c>
      <c r="CD41" s="3">
        <v>0</v>
      </c>
      <c r="CE41" s="1" t="s">
        <v>1</v>
      </c>
      <c r="CF41" s="7">
        <v>2</v>
      </c>
      <c r="CG41" s="9" t="str">
        <f t="shared" si="148"/>
        <v/>
      </c>
      <c r="CH41" s="3">
        <v>1</v>
      </c>
      <c r="CI41" s="1" t="s">
        <v>1</v>
      </c>
      <c r="CJ41" s="7">
        <v>2</v>
      </c>
      <c r="CK41" s="9" t="str">
        <f t="shared" si="149"/>
        <v/>
      </c>
      <c r="CL41" s="3">
        <v>1</v>
      </c>
      <c r="CM41" s="1" t="s">
        <v>1</v>
      </c>
      <c r="CN41" s="7">
        <v>1</v>
      </c>
      <c r="CO41" s="9" t="str">
        <f t="shared" si="150"/>
        <v/>
      </c>
      <c r="CP41" s="3">
        <v>1</v>
      </c>
      <c r="CQ41" s="1" t="s">
        <v>1</v>
      </c>
      <c r="CR41" s="7">
        <v>2</v>
      </c>
      <c r="CS41" s="9" t="str">
        <f t="shared" si="151"/>
        <v/>
      </c>
      <c r="CT41" s="3">
        <v>0</v>
      </c>
      <c r="CU41" s="1" t="s">
        <v>1</v>
      </c>
      <c r="CV41" s="7">
        <v>1</v>
      </c>
      <c r="CW41" s="9" t="str">
        <f t="shared" si="152"/>
        <v/>
      </c>
      <c r="CX41" s="3">
        <v>1</v>
      </c>
      <c r="CY41" s="1" t="s">
        <v>1</v>
      </c>
      <c r="CZ41" s="7">
        <v>1</v>
      </c>
      <c r="DA41" s="9" t="str">
        <f t="shared" si="153"/>
        <v/>
      </c>
      <c r="DB41" s="3">
        <v>0</v>
      </c>
      <c r="DC41" s="1" t="s">
        <v>1</v>
      </c>
      <c r="DD41" s="7">
        <v>0</v>
      </c>
      <c r="DE41" s="9" t="str">
        <f t="shared" si="154"/>
        <v/>
      </c>
      <c r="DF41" s="3">
        <v>2</v>
      </c>
      <c r="DG41" s="1" t="s">
        <v>1</v>
      </c>
      <c r="DH41" s="7">
        <v>0</v>
      </c>
      <c r="DI41" s="9" t="str">
        <f t="shared" si="155"/>
        <v/>
      </c>
    </row>
    <row r="42" spans="2:113" x14ac:dyDescent="0.3">
      <c r="B42" s="12">
        <v>46199</v>
      </c>
      <c r="C42" s="7" t="s">
        <v>72</v>
      </c>
      <c r="D42" s="3" t="s">
        <v>32</v>
      </c>
      <c r="E42" s="1" t="s">
        <v>1</v>
      </c>
      <c r="F42" s="5" t="s">
        <v>33</v>
      </c>
      <c r="G42" s="3"/>
      <c r="H42" s="1" t="s">
        <v>1</v>
      </c>
      <c r="I42" s="5"/>
      <c r="J42" s="3">
        <v>1</v>
      </c>
      <c r="K42" s="1" t="s">
        <v>1</v>
      </c>
      <c r="L42" s="7">
        <v>0</v>
      </c>
      <c r="M42" s="9" t="str">
        <f t="shared" si="130"/>
        <v/>
      </c>
      <c r="N42" s="3">
        <v>0</v>
      </c>
      <c r="O42" s="1" t="s">
        <v>1</v>
      </c>
      <c r="P42" s="7">
        <v>1</v>
      </c>
      <c r="Q42" s="9" t="str">
        <f t="shared" si="131"/>
        <v/>
      </c>
      <c r="R42" s="3">
        <v>1</v>
      </c>
      <c r="S42" s="1" t="s">
        <v>1</v>
      </c>
      <c r="T42" s="7">
        <v>0</v>
      </c>
      <c r="U42" s="9" t="str">
        <f t="shared" si="132"/>
        <v/>
      </c>
      <c r="V42" s="3">
        <v>2</v>
      </c>
      <c r="W42" s="1" t="s">
        <v>1</v>
      </c>
      <c r="X42" s="7">
        <v>0</v>
      </c>
      <c r="Y42" s="9" t="str">
        <f t="shared" si="133"/>
        <v/>
      </c>
      <c r="Z42" s="3">
        <v>0</v>
      </c>
      <c r="AA42" s="1" t="s">
        <v>1</v>
      </c>
      <c r="AB42" s="7">
        <v>1</v>
      </c>
      <c r="AC42" s="9" t="str">
        <f t="shared" si="134"/>
        <v/>
      </c>
      <c r="AD42" s="3">
        <v>0</v>
      </c>
      <c r="AE42" s="1" t="s">
        <v>1</v>
      </c>
      <c r="AF42" s="7">
        <v>1</v>
      </c>
      <c r="AG42" s="9" t="str">
        <f t="shared" si="135"/>
        <v/>
      </c>
      <c r="AH42" s="3">
        <v>1</v>
      </c>
      <c r="AI42" s="1" t="s">
        <v>1</v>
      </c>
      <c r="AJ42" s="7">
        <v>1</v>
      </c>
      <c r="AK42" s="9" t="str">
        <f t="shared" si="136"/>
        <v/>
      </c>
      <c r="AL42" s="3">
        <v>1</v>
      </c>
      <c r="AM42" s="1" t="s">
        <v>1</v>
      </c>
      <c r="AN42" s="7">
        <v>0</v>
      </c>
      <c r="AO42" s="9" t="str">
        <f t="shared" si="137"/>
        <v/>
      </c>
      <c r="AP42" s="3">
        <v>1</v>
      </c>
      <c r="AQ42" s="1" t="s">
        <v>1</v>
      </c>
      <c r="AR42" s="7">
        <v>2</v>
      </c>
      <c r="AS42" s="9" t="str">
        <f t="shared" si="138"/>
        <v/>
      </c>
      <c r="AT42" s="3">
        <v>0</v>
      </c>
      <c r="AU42" s="1" t="s">
        <v>1</v>
      </c>
      <c r="AV42" s="7">
        <v>2</v>
      </c>
      <c r="AW42" s="9" t="str">
        <f t="shared" si="139"/>
        <v/>
      </c>
      <c r="AX42" s="3">
        <v>2</v>
      </c>
      <c r="AY42" s="1" t="s">
        <v>1</v>
      </c>
      <c r="AZ42" s="7">
        <v>2</v>
      </c>
      <c r="BA42" s="9" t="str">
        <f t="shared" si="140"/>
        <v/>
      </c>
      <c r="BB42" s="3">
        <v>2</v>
      </c>
      <c r="BC42" s="1" t="s">
        <v>1</v>
      </c>
      <c r="BD42" s="7">
        <v>1</v>
      </c>
      <c r="BE42" s="9" t="str">
        <f t="shared" si="141"/>
        <v/>
      </c>
      <c r="BF42" s="3">
        <v>3</v>
      </c>
      <c r="BG42" s="1" t="s">
        <v>1</v>
      </c>
      <c r="BH42" s="7">
        <v>1</v>
      </c>
      <c r="BI42" s="9" t="str">
        <f t="shared" si="142"/>
        <v/>
      </c>
      <c r="BJ42" s="3">
        <v>2</v>
      </c>
      <c r="BK42" s="1" t="s">
        <v>1</v>
      </c>
      <c r="BL42" s="7">
        <v>1</v>
      </c>
      <c r="BM42" s="9" t="str">
        <f t="shared" si="143"/>
        <v/>
      </c>
      <c r="BN42" s="3">
        <v>2</v>
      </c>
      <c r="BO42" s="1" t="s">
        <v>1</v>
      </c>
      <c r="BP42" s="7">
        <v>1</v>
      </c>
      <c r="BQ42" s="9" t="str">
        <f t="shared" si="144"/>
        <v/>
      </c>
      <c r="BR42" s="3">
        <v>2</v>
      </c>
      <c r="BS42" s="1" t="s">
        <v>1</v>
      </c>
      <c r="BT42" s="7">
        <v>0</v>
      </c>
      <c r="BU42" s="9" t="str">
        <f t="shared" si="145"/>
        <v/>
      </c>
      <c r="BV42" s="3">
        <v>2</v>
      </c>
      <c r="BW42" s="1" t="s">
        <v>1</v>
      </c>
      <c r="BX42" s="7">
        <v>1</v>
      </c>
      <c r="BY42" s="9" t="str">
        <f t="shared" si="146"/>
        <v/>
      </c>
      <c r="BZ42" s="3">
        <v>1</v>
      </c>
      <c r="CA42" s="1" t="s">
        <v>1</v>
      </c>
      <c r="CB42" s="7">
        <v>2</v>
      </c>
      <c r="CC42" s="9" t="str">
        <f t="shared" si="147"/>
        <v/>
      </c>
      <c r="CD42" s="3">
        <v>1</v>
      </c>
      <c r="CE42" s="1" t="s">
        <v>1</v>
      </c>
      <c r="CF42" s="7">
        <v>1</v>
      </c>
      <c r="CG42" s="9" t="str">
        <f t="shared" si="148"/>
        <v/>
      </c>
      <c r="CH42" s="3">
        <v>1</v>
      </c>
      <c r="CI42" s="1" t="s">
        <v>1</v>
      </c>
      <c r="CJ42" s="7">
        <v>2</v>
      </c>
      <c r="CK42" s="9" t="str">
        <f t="shared" si="149"/>
        <v/>
      </c>
      <c r="CL42" s="3">
        <v>0</v>
      </c>
      <c r="CM42" s="1" t="s">
        <v>1</v>
      </c>
      <c r="CN42" s="7">
        <v>1</v>
      </c>
      <c r="CO42" s="9" t="str">
        <f t="shared" si="150"/>
        <v/>
      </c>
      <c r="CP42" s="3">
        <v>1</v>
      </c>
      <c r="CQ42" s="1" t="s">
        <v>1</v>
      </c>
      <c r="CR42" s="7">
        <v>1</v>
      </c>
      <c r="CS42" s="9" t="str">
        <f t="shared" si="151"/>
        <v/>
      </c>
      <c r="CT42" s="3">
        <v>1</v>
      </c>
      <c r="CU42" s="1" t="s">
        <v>1</v>
      </c>
      <c r="CV42" s="7">
        <v>1</v>
      </c>
      <c r="CW42" s="9" t="str">
        <f t="shared" si="152"/>
        <v/>
      </c>
      <c r="CX42" s="3">
        <v>2</v>
      </c>
      <c r="CY42" s="1" t="s">
        <v>1</v>
      </c>
      <c r="CZ42" s="7">
        <v>1</v>
      </c>
      <c r="DA42" s="9" t="str">
        <f t="shared" si="153"/>
        <v/>
      </c>
      <c r="DB42" s="3">
        <v>0</v>
      </c>
      <c r="DC42" s="1" t="s">
        <v>1</v>
      </c>
      <c r="DD42" s="7">
        <v>1</v>
      </c>
      <c r="DE42" s="9" t="str">
        <f t="shared" si="154"/>
        <v/>
      </c>
      <c r="DF42" s="3">
        <v>1</v>
      </c>
      <c r="DG42" s="1" t="s">
        <v>1</v>
      </c>
      <c r="DH42" s="7">
        <v>1</v>
      </c>
      <c r="DI42" s="9" t="str">
        <f t="shared" si="155"/>
        <v/>
      </c>
    </row>
    <row r="43" spans="2:113" ht="15" thickBot="1" x14ac:dyDescent="0.35">
      <c r="B43" s="13">
        <v>46199</v>
      </c>
      <c r="C43" s="8" t="s">
        <v>72</v>
      </c>
      <c r="D43" s="4" t="s">
        <v>34</v>
      </c>
      <c r="E43" s="2" t="s">
        <v>1</v>
      </c>
      <c r="F43" s="6" t="s">
        <v>31</v>
      </c>
      <c r="G43" s="4"/>
      <c r="H43" s="2" t="s">
        <v>1</v>
      </c>
      <c r="I43" s="6"/>
      <c r="J43" s="4">
        <v>1</v>
      </c>
      <c r="K43" s="2" t="s">
        <v>1</v>
      </c>
      <c r="L43" s="8">
        <v>2</v>
      </c>
      <c r="M43" s="10" t="str">
        <f t="shared" si="130"/>
        <v/>
      </c>
      <c r="N43" s="4">
        <v>0</v>
      </c>
      <c r="O43" s="2" t="s">
        <v>1</v>
      </c>
      <c r="P43" s="8">
        <v>2</v>
      </c>
      <c r="Q43" s="10" t="str">
        <f t="shared" si="131"/>
        <v/>
      </c>
      <c r="R43" s="4">
        <v>0</v>
      </c>
      <c r="S43" s="2" t="s">
        <v>1</v>
      </c>
      <c r="T43" s="8">
        <v>2</v>
      </c>
      <c r="U43" s="10" t="str">
        <f t="shared" si="132"/>
        <v/>
      </c>
      <c r="V43" s="4">
        <v>0</v>
      </c>
      <c r="W43" s="2" t="s">
        <v>1</v>
      </c>
      <c r="X43" s="8">
        <v>2</v>
      </c>
      <c r="Y43" s="10" t="str">
        <f t="shared" si="133"/>
        <v/>
      </c>
      <c r="Z43" s="4">
        <v>0</v>
      </c>
      <c r="AA43" s="2" t="s">
        <v>1</v>
      </c>
      <c r="AB43" s="8">
        <v>2</v>
      </c>
      <c r="AC43" s="10" t="str">
        <f t="shared" si="134"/>
        <v/>
      </c>
      <c r="AD43" s="4">
        <v>0</v>
      </c>
      <c r="AE43" s="2" t="s">
        <v>1</v>
      </c>
      <c r="AF43" s="8">
        <v>2</v>
      </c>
      <c r="AG43" s="10" t="str">
        <f t="shared" si="135"/>
        <v/>
      </c>
      <c r="AH43" s="4">
        <v>0</v>
      </c>
      <c r="AI43" s="2" t="s">
        <v>1</v>
      </c>
      <c r="AJ43" s="8">
        <v>2</v>
      </c>
      <c r="AK43" s="10" t="str">
        <f t="shared" si="136"/>
        <v/>
      </c>
      <c r="AL43" s="4">
        <v>0</v>
      </c>
      <c r="AM43" s="2" t="s">
        <v>1</v>
      </c>
      <c r="AN43" s="8">
        <v>1</v>
      </c>
      <c r="AO43" s="10" t="str">
        <f t="shared" si="137"/>
        <v/>
      </c>
      <c r="AP43" s="4">
        <v>0</v>
      </c>
      <c r="AQ43" s="2" t="s">
        <v>1</v>
      </c>
      <c r="AR43" s="8">
        <v>2</v>
      </c>
      <c r="AS43" s="10" t="str">
        <f t="shared" si="138"/>
        <v/>
      </c>
      <c r="AT43" s="4">
        <v>0</v>
      </c>
      <c r="AU43" s="2" t="s">
        <v>1</v>
      </c>
      <c r="AV43" s="8">
        <v>1</v>
      </c>
      <c r="AW43" s="10" t="str">
        <f t="shared" si="139"/>
        <v/>
      </c>
      <c r="AX43" s="4">
        <v>0</v>
      </c>
      <c r="AY43" s="2" t="s">
        <v>1</v>
      </c>
      <c r="AZ43" s="8">
        <v>2</v>
      </c>
      <c r="BA43" s="10" t="str">
        <f t="shared" si="140"/>
        <v/>
      </c>
      <c r="BB43" s="4">
        <v>0</v>
      </c>
      <c r="BC43" s="2" t="s">
        <v>1</v>
      </c>
      <c r="BD43" s="8">
        <v>2</v>
      </c>
      <c r="BE43" s="10" t="str">
        <f t="shared" si="141"/>
        <v/>
      </c>
      <c r="BF43" s="4">
        <v>1</v>
      </c>
      <c r="BG43" s="2" t="s">
        <v>1</v>
      </c>
      <c r="BH43" s="8">
        <v>2</v>
      </c>
      <c r="BI43" s="10" t="str">
        <f t="shared" si="142"/>
        <v/>
      </c>
      <c r="BJ43" s="4">
        <v>1</v>
      </c>
      <c r="BK43" s="2" t="s">
        <v>1</v>
      </c>
      <c r="BL43" s="8">
        <v>2</v>
      </c>
      <c r="BM43" s="10" t="str">
        <f t="shared" si="143"/>
        <v/>
      </c>
      <c r="BN43" s="4">
        <v>0</v>
      </c>
      <c r="BO43" s="2" t="s">
        <v>1</v>
      </c>
      <c r="BP43" s="8">
        <v>2</v>
      </c>
      <c r="BQ43" s="10" t="str">
        <f t="shared" si="144"/>
        <v/>
      </c>
      <c r="BR43" s="4">
        <v>1</v>
      </c>
      <c r="BS43" s="2" t="s">
        <v>1</v>
      </c>
      <c r="BT43" s="8">
        <v>3</v>
      </c>
      <c r="BU43" s="10" t="str">
        <f t="shared" si="145"/>
        <v/>
      </c>
      <c r="BV43" s="4">
        <v>1</v>
      </c>
      <c r="BW43" s="2" t="s">
        <v>1</v>
      </c>
      <c r="BX43" s="8">
        <v>3</v>
      </c>
      <c r="BY43" s="10" t="str">
        <f t="shared" si="146"/>
        <v/>
      </c>
      <c r="BZ43" s="4">
        <v>1</v>
      </c>
      <c r="CA43" s="2" t="s">
        <v>1</v>
      </c>
      <c r="CB43" s="8">
        <v>2</v>
      </c>
      <c r="CC43" s="10" t="str">
        <f t="shared" si="147"/>
        <v/>
      </c>
      <c r="CD43" s="4">
        <v>0</v>
      </c>
      <c r="CE43" s="2" t="s">
        <v>1</v>
      </c>
      <c r="CF43" s="8">
        <v>3</v>
      </c>
      <c r="CG43" s="10" t="str">
        <f t="shared" si="148"/>
        <v/>
      </c>
      <c r="CH43" s="4">
        <v>0</v>
      </c>
      <c r="CI43" s="2" t="s">
        <v>1</v>
      </c>
      <c r="CJ43" s="8">
        <v>3</v>
      </c>
      <c r="CK43" s="10" t="str">
        <f t="shared" si="149"/>
        <v/>
      </c>
      <c r="CL43" s="4">
        <v>0</v>
      </c>
      <c r="CM43" s="2" t="s">
        <v>1</v>
      </c>
      <c r="CN43" s="8">
        <v>2</v>
      </c>
      <c r="CO43" s="10" t="str">
        <f t="shared" si="150"/>
        <v/>
      </c>
      <c r="CP43" s="4">
        <v>1</v>
      </c>
      <c r="CQ43" s="2" t="s">
        <v>1</v>
      </c>
      <c r="CR43" s="8">
        <v>4</v>
      </c>
      <c r="CS43" s="10" t="str">
        <f t="shared" si="151"/>
        <v/>
      </c>
      <c r="CT43" s="4">
        <v>0</v>
      </c>
      <c r="CU43" s="2" t="s">
        <v>1</v>
      </c>
      <c r="CV43" s="8">
        <v>2</v>
      </c>
      <c r="CW43" s="10" t="str">
        <f t="shared" si="152"/>
        <v/>
      </c>
      <c r="CX43" s="4">
        <v>0</v>
      </c>
      <c r="CY43" s="2" t="s">
        <v>1</v>
      </c>
      <c r="CZ43" s="8">
        <v>2</v>
      </c>
      <c r="DA43" s="10" t="str">
        <f t="shared" si="153"/>
        <v/>
      </c>
      <c r="DB43" s="4">
        <v>0</v>
      </c>
      <c r="DC43" s="2" t="s">
        <v>1</v>
      </c>
      <c r="DD43" s="8">
        <v>3</v>
      </c>
      <c r="DE43" s="10" t="str">
        <f t="shared" si="154"/>
        <v/>
      </c>
      <c r="DF43" s="4">
        <v>1</v>
      </c>
      <c r="DG43" s="2" t="s">
        <v>1</v>
      </c>
      <c r="DH43" s="8">
        <v>0</v>
      </c>
      <c r="DI43" s="10" t="str">
        <f t="shared" si="155"/>
        <v/>
      </c>
    </row>
    <row r="44" spans="2:113" ht="15" thickBot="1" x14ac:dyDescent="0.35">
      <c r="B44" s="51" t="s">
        <v>77</v>
      </c>
      <c r="C44" s="52" t="s">
        <v>78</v>
      </c>
      <c r="D44" s="157" t="s">
        <v>13</v>
      </c>
      <c r="E44" s="158"/>
      <c r="F44" s="159"/>
      <c r="G44" s="53" t="s">
        <v>7</v>
      </c>
      <c r="H44" s="54"/>
      <c r="I44" s="55"/>
      <c r="J44" s="61"/>
      <c r="K44" s="62"/>
      <c r="L44" s="62"/>
      <c r="M44" s="63"/>
      <c r="N44" s="64"/>
      <c r="O44" s="65"/>
      <c r="P44" s="65"/>
      <c r="Q44" s="66"/>
      <c r="R44" s="67"/>
      <c r="S44" s="68"/>
      <c r="T44" s="68"/>
      <c r="U44" s="69"/>
      <c r="V44" s="109"/>
      <c r="W44" s="110"/>
      <c r="X44" s="110"/>
      <c r="Y44" s="111"/>
      <c r="Z44" s="70"/>
      <c r="AA44" s="71"/>
      <c r="AB44" s="71"/>
      <c r="AC44" s="72"/>
      <c r="AD44" s="73"/>
      <c r="AE44" s="74"/>
      <c r="AF44" s="74"/>
      <c r="AG44" s="75"/>
      <c r="AH44" s="76"/>
      <c r="AI44" s="77"/>
      <c r="AJ44" s="77"/>
      <c r="AK44" s="78"/>
      <c r="AL44" s="79"/>
      <c r="AM44" s="80"/>
      <c r="AN44" s="80"/>
      <c r="AO44" s="81"/>
      <c r="AP44" s="41"/>
      <c r="AQ44" s="42"/>
      <c r="AR44" s="42"/>
      <c r="AS44" s="43"/>
      <c r="AT44" s="82"/>
      <c r="AU44" s="83"/>
      <c r="AV44" s="83"/>
      <c r="AW44" s="84"/>
      <c r="AX44" s="85"/>
      <c r="AY44" s="86"/>
      <c r="AZ44" s="86"/>
      <c r="BA44" s="87"/>
      <c r="BB44" s="88"/>
      <c r="BC44" s="89"/>
      <c r="BD44" s="89"/>
      <c r="BE44" s="90"/>
      <c r="BF44" s="91"/>
      <c r="BG44" s="92"/>
      <c r="BH44" s="92"/>
      <c r="BI44" s="93"/>
      <c r="BJ44" s="94"/>
      <c r="BK44" s="95"/>
      <c r="BL44" s="95"/>
      <c r="BM44" s="96"/>
      <c r="BN44" s="34"/>
      <c r="BO44" s="36"/>
      <c r="BP44" s="36"/>
      <c r="BQ44" s="35"/>
      <c r="BR44" s="79"/>
      <c r="BS44" s="80"/>
      <c r="BT44" s="80"/>
      <c r="BU44" s="81"/>
      <c r="BV44" s="97"/>
      <c r="BW44" s="98"/>
      <c r="BX44" s="98"/>
      <c r="BY44" s="99"/>
      <c r="BZ44" s="41"/>
      <c r="CA44" s="42"/>
      <c r="CB44" s="42"/>
      <c r="CC44" s="43"/>
      <c r="CD44" s="100"/>
      <c r="CE44" s="101"/>
      <c r="CF44" s="101"/>
      <c r="CG44" s="102"/>
      <c r="CH44" s="103"/>
      <c r="CI44" s="104"/>
      <c r="CJ44" s="104"/>
      <c r="CK44" s="105"/>
      <c r="CL44" s="109"/>
      <c r="CM44" s="110"/>
      <c r="CN44" s="110"/>
      <c r="CO44" s="111"/>
      <c r="CP44" s="106"/>
      <c r="CQ44" s="107"/>
      <c r="CR44" s="107"/>
      <c r="CS44" s="108"/>
      <c r="CT44" s="85"/>
      <c r="CU44" s="86"/>
      <c r="CV44" s="86"/>
      <c r="CW44" s="87"/>
      <c r="CX44" s="133"/>
      <c r="CY44" s="134"/>
      <c r="CZ44" s="134"/>
      <c r="DA44" s="135"/>
      <c r="DB44" s="137"/>
      <c r="DC44" s="138"/>
      <c r="DD44" s="138"/>
      <c r="DE44" s="139"/>
      <c r="DF44" s="53"/>
      <c r="DG44" s="54"/>
      <c r="DH44" s="54"/>
      <c r="DI44" s="55"/>
    </row>
    <row r="45" spans="2:113" x14ac:dyDescent="0.3">
      <c r="B45" s="12">
        <v>46188</v>
      </c>
      <c r="C45" s="7" t="s">
        <v>63</v>
      </c>
      <c r="D45" s="3" t="s">
        <v>35</v>
      </c>
      <c r="E45" s="1" t="s">
        <v>1</v>
      </c>
      <c r="F45" s="5" t="s">
        <v>36</v>
      </c>
      <c r="G45" s="3"/>
      <c r="H45" s="1" t="s">
        <v>1</v>
      </c>
      <c r="I45" s="5"/>
      <c r="J45" s="3">
        <v>2</v>
      </c>
      <c r="K45" s="1" t="s">
        <v>1</v>
      </c>
      <c r="L45" s="7">
        <v>1</v>
      </c>
      <c r="M45" s="11" t="str">
        <f>IF(ISBLANK($I45)=TRUE,"",IF(SIGN(J45-L45)=SIGN($G45-$I45),1,0)+IF(J45=$G45,IF(L45=$I45,2,0),0))</f>
        <v/>
      </c>
      <c r="N45" s="3">
        <v>2</v>
      </c>
      <c r="O45" s="1" t="s">
        <v>1</v>
      </c>
      <c r="P45" s="7">
        <v>0</v>
      </c>
      <c r="Q45" s="11" t="str">
        <f>IF(ISBLANK($I45)=TRUE,"",IF(SIGN(N45-P45)=SIGN($G45-$I45),1,0)+IF(N45=$G45,IF(P45=$I45,2,0),0))</f>
        <v/>
      </c>
      <c r="R45" s="3">
        <v>1</v>
      </c>
      <c r="S45" s="1" t="s">
        <v>1</v>
      </c>
      <c r="T45" s="7">
        <v>1</v>
      </c>
      <c r="U45" s="11" t="str">
        <f>IF(ISBLANK($I45)=TRUE,"",IF(SIGN(R45-T45)=SIGN($G45-$I45),1,0)+IF(R45=$G45,IF(T45=$I45,2,0),0))</f>
        <v/>
      </c>
      <c r="V45" s="3">
        <v>2</v>
      </c>
      <c r="W45" s="1" t="s">
        <v>1</v>
      </c>
      <c r="X45" s="7">
        <v>0</v>
      </c>
      <c r="Y45" s="11" t="str">
        <f>IF(ISBLANK($I45)=TRUE,"",IF(SIGN(V45-X45)=SIGN($G45-$I45),1,0)+IF(V45=$G45,IF(X45=$I45,2,0),0))</f>
        <v/>
      </c>
      <c r="Z45" s="3">
        <v>2</v>
      </c>
      <c r="AA45" s="1" t="s">
        <v>1</v>
      </c>
      <c r="AB45" s="7">
        <v>1</v>
      </c>
      <c r="AC45" s="11" t="str">
        <f>IF(ISBLANK($I45)=TRUE,"",IF(SIGN(Z45-AB45)=SIGN($G45-$I45),1,0)+IF(Z45=$G45,IF(AB45=$I45,2,0),0))</f>
        <v/>
      </c>
      <c r="AD45" s="3">
        <v>3</v>
      </c>
      <c r="AE45" s="1" t="s">
        <v>1</v>
      </c>
      <c r="AF45" s="7">
        <v>1</v>
      </c>
      <c r="AG45" s="11" t="str">
        <f>IF(ISBLANK($I45)=TRUE,"",IF(SIGN(AD45-AF45)=SIGN($G45-$I45),1,0)+IF(AD45=$G45,IF(AF45=$I45,2,0),0))</f>
        <v/>
      </c>
      <c r="AH45" s="3">
        <v>2</v>
      </c>
      <c r="AI45" s="1" t="s">
        <v>1</v>
      </c>
      <c r="AJ45" s="7">
        <v>1</v>
      </c>
      <c r="AK45" s="11" t="str">
        <f>IF(ISBLANK($I45)=TRUE,"",IF(SIGN(AH45-AJ45)=SIGN($G45-$I45),1,0)+IF(AH45=$G45,IF(AJ45=$I45,2,0),0))</f>
        <v/>
      </c>
      <c r="AL45" s="3">
        <v>1</v>
      </c>
      <c r="AM45" s="1" t="s">
        <v>1</v>
      </c>
      <c r="AN45" s="7">
        <v>0</v>
      </c>
      <c r="AO45" s="11" t="str">
        <f>IF(ISBLANK($I45)=TRUE,"",IF(SIGN(AL45-AN45)=SIGN($G45-$I45),1,0)+IF(AL45=$G45,IF(AN45=$I45,2,0),0))</f>
        <v/>
      </c>
      <c r="AP45" s="3">
        <v>1</v>
      </c>
      <c r="AQ45" s="1" t="s">
        <v>1</v>
      </c>
      <c r="AR45" s="7">
        <v>0</v>
      </c>
      <c r="AS45" s="11" t="str">
        <f>IF(ISBLANK($I45)=TRUE,"",IF(SIGN(AP45-AR45)=SIGN($G45-$I45),1,0)+IF(AP45=$G45,IF(AR45=$I45,2,0),0))</f>
        <v/>
      </c>
      <c r="AT45" s="3">
        <v>0</v>
      </c>
      <c r="AU45" s="1" t="s">
        <v>1</v>
      </c>
      <c r="AV45" s="7">
        <v>0</v>
      </c>
      <c r="AW45" s="11" t="str">
        <f>IF(ISBLANK($I45)=TRUE,"",IF(SIGN(AT45-AV45)=SIGN($G45-$I45),1,0)+IF(AT45=$G45,IF(AV45=$I45,2,0),0))</f>
        <v/>
      </c>
      <c r="AX45" s="3">
        <v>1</v>
      </c>
      <c r="AY45" s="1" t="s">
        <v>1</v>
      </c>
      <c r="AZ45" s="7">
        <v>1</v>
      </c>
      <c r="BA45" s="11" t="str">
        <f>IF(ISBLANK($I45)=TRUE,"",IF(SIGN(AX45-AZ45)=SIGN($G45-$I45),1,0)+IF(AX45=$G45,IF(AZ45=$I45,2,0),0))</f>
        <v/>
      </c>
      <c r="BB45" s="3">
        <v>2</v>
      </c>
      <c r="BC45" s="1" t="s">
        <v>1</v>
      </c>
      <c r="BD45" s="7">
        <v>1</v>
      </c>
      <c r="BE45" s="11" t="str">
        <f>IF(ISBLANK($I45)=TRUE,"",IF(SIGN(BB45-BD45)=SIGN($G45-$I45),1,0)+IF(BB45=$G45,IF(BD45=$I45,2,0),0))</f>
        <v/>
      </c>
      <c r="BF45" s="3">
        <v>2</v>
      </c>
      <c r="BG45" s="1" t="s">
        <v>1</v>
      </c>
      <c r="BH45" s="7">
        <v>0</v>
      </c>
      <c r="BI45" s="11" t="str">
        <f>IF(ISBLANK($I45)=TRUE,"",IF(SIGN(BF45-BH45)=SIGN($G45-$I45),1,0)+IF(BF45=$G45,IF(BH45=$I45,2,0),0))</f>
        <v/>
      </c>
      <c r="BJ45" s="3">
        <v>2</v>
      </c>
      <c r="BK45" s="1" t="s">
        <v>1</v>
      </c>
      <c r="BL45" s="7">
        <v>1</v>
      </c>
      <c r="BM45" s="11" t="str">
        <f>IF(ISBLANK($I45)=TRUE,"",IF(SIGN(BJ45-BL45)=SIGN($G45-$I45),1,0)+IF(BJ45=$G45,IF(BL45=$I45,2,0),0))</f>
        <v/>
      </c>
      <c r="BN45" s="3">
        <v>2</v>
      </c>
      <c r="BO45" s="1" t="s">
        <v>1</v>
      </c>
      <c r="BP45" s="7">
        <v>1</v>
      </c>
      <c r="BQ45" s="11" t="str">
        <f>IF(ISBLANK($I45)=TRUE,"",IF(SIGN(BN45-BP45)=SIGN($G45-$I45),1,0)+IF(BN45=$G45,IF(BP45=$I45,2,0),0))</f>
        <v/>
      </c>
      <c r="BR45" s="3">
        <v>1</v>
      </c>
      <c r="BS45" s="1" t="s">
        <v>1</v>
      </c>
      <c r="BT45" s="7">
        <v>2</v>
      </c>
      <c r="BU45" s="11" t="str">
        <f>IF(ISBLANK($I45)=TRUE,"",IF(SIGN(BR45-BT45)=SIGN($G45-$I45),1,0)+IF(BR45=$G45,IF(BT45=$I45,2,0),0))</f>
        <v/>
      </c>
      <c r="BV45" s="3">
        <v>1</v>
      </c>
      <c r="BW45" s="1" t="s">
        <v>1</v>
      </c>
      <c r="BX45" s="7">
        <v>1</v>
      </c>
      <c r="BY45" s="11" t="str">
        <f>IF(ISBLANK($I45)=TRUE,"",IF(SIGN(BV45-BX45)=SIGN($G45-$I45),1,0)+IF(BV45=$G45,IF(BX45=$I45,2,0),0))</f>
        <v/>
      </c>
      <c r="BZ45" s="3">
        <v>2</v>
      </c>
      <c r="CA45" s="1" t="s">
        <v>1</v>
      </c>
      <c r="CB45" s="7">
        <v>1</v>
      </c>
      <c r="CC45" s="11" t="str">
        <f>IF(ISBLANK($I45)=TRUE,"",IF(SIGN(BZ45-CB45)=SIGN($G45-$I45),1,0)+IF(BZ45=$G45,IF(CB45=$I45,2,0),0))</f>
        <v/>
      </c>
      <c r="CD45" s="3">
        <v>2</v>
      </c>
      <c r="CE45" s="1" t="s">
        <v>1</v>
      </c>
      <c r="CF45" s="7">
        <v>1</v>
      </c>
      <c r="CG45" s="11" t="str">
        <f>IF(ISBLANK($I45)=TRUE,"",IF(SIGN(CD45-CF45)=SIGN($G45-$I45),1,0)+IF(CD45=$G45,IF(CF45=$I45,2,0),0))</f>
        <v/>
      </c>
      <c r="CH45" s="3">
        <v>3</v>
      </c>
      <c r="CI45" s="1" t="s">
        <v>1</v>
      </c>
      <c r="CJ45" s="7">
        <v>1</v>
      </c>
      <c r="CK45" s="11" t="str">
        <f>IF(ISBLANK($I45)=TRUE,"",IF(SIGN(CH45-CJ45)=SIGN($G45-$I45),1,0)+IF(CH45=$G45,IF(CJ45=$I45,2,0),0))</f>
        <v/>
      </c>
      <c r="CL45" s="3">
        <v>2</v>
      </c>
      <c r="CM45" s="1" t="s">
        <v>1</v>
      </c>
      <c r="CN45" s="7">
        <v>1</v>
      </c>
      <c r="CO45" s="11" t="str">
        <f>IF(ISBLANK($I45)=TRUE,"",IF(SIGN(CL45-CN45)=SIGN($G45-$I45),1,0)+IF(CL45=$G45,IF(CN45=$I45,2,0),0))</f>
        <v/>
      </c>
      <c r="CP45" s="3">
        <v>3</v>
      </c>
      <c r="CQ45" s="1" t="s">
        <v>1</v>
      </c>
      <c r="CR45" s="7">
        <v>1</v>
      </c>
      <c r="CS45" s="11" t="str">
        <f>IF(ISBLANK($I45)=TRUE,"",IF(SIGN(CP45-CR45)=SIGN($G45-$I45),1,0)+IF(CP45=$G45,IF(CR45=$I45,2,0),0))</f>
        <v/>
      </c>
      <c r="CT45" s="3">
        <v>2</v>
      </c>
      <c r="CU45" s="1" t="s">
        <v>1</v>
      </c>
      <c r="CV45" s="7">
        <v>0</v>
      </c>
      <c r="CW45" s="11" t="str">
        <f>IF(ISBLANK($I45)=TRUE,"",IF(SIGN(CT45-CV45)=SIGN($G45-$I45),1,0)+IF(CT45=$G45,IF(CV45=$I45,2,0),0))</f>
        <v/>
      </c>
      <c r="CX45" s="3">
        <v>1</v>
      </c>
      <c r="CY45" s="1" t="s">
        <v>1</v>
      </c>
      <c r="CZ45" s="7">
        <v>1</v>
      </c>
      <c r="DA45" s="11" t="str">
        <f>IF(ISBLANK($I45)=TRUE,"",IF(SIGN(CX45-CZ45)=SIGN($G45-$I45),1,0)+IF(CX45=$G45,IF(CZ45=$I45,2,0),0))</f>
        <v/>
      </c>
      <c r="DB45" s="3">
        <v>3</v>
      </c>
      <c r="DC45" s="1" t="s">
        <v>1</v>
      </c>
      <c r="DD45" s="7">
        <v>2</v>
      </c>
      <c r="DE45" s="11" t="str">
        <f>IF(ISBLANK($I45)=TRUE,"",IF(SIGN(DB45-DD45)=SIGN($G45-$I45),1,0)+IF(DB45=$G45,IF(DD45=$I45,2,0),0))</f>
        <v/>
      </c>
      <c r="DF45" s="3">
        <v>2</v>
      </c>
      <c r="DG45" s="1" t="s">
        <v>1</v>
      </c>
      <c r="DH45" s="7">
        <v>3</v>
      </c>
      <c r="DI45" s="11" t="str">
        <f>IF(ISBLANK($I45)=TRUE,"",IF(SIGN(DF45-DH45)=SIGN($G45-$I45),1,0)+IF(DF45=$G45,IF(DH45=$I45,2,0),0))</f>
        <v/>
      </c>
    </row>
    <row r="46" spans="2:113" x14ac:dyDescent="0.3">
      <c r="B46" s="12">
        <v>46189</v>
      </c>
      <c r="C46" s="7" t="s">
        <v>66</v>
      </c>
      <c r="D46" s="3" t="s">
        <v>37</v>
      </c>
      <c r="E46" s="1" t="s">
        <v>1</v>
      </c>
      <c r="F46" s="5" t="s">
        <v>38</v>
      </c>
      <c r="G46" s="3"/>
      <c r="H46" s="1" t="s">
        <v>1</v>
      </c>
      <c r="I46" s="5"/>
      <c r="J46" s="3">
        <v>2</v>
      </c>
      <c r="K46" s="1" t="s">
        <v>1</v>
      </c>
      <c r="L46" s="7">
        <v>0</v>
      </c>
      <c r="M46" s="9" t="str">
        <f t="shared" ref="M46:M50" si="156">IF(ISBLANK($G46)=TRUE,"",IF(SIGN(J46-L46)=SIGN($G46-$I46),1,0)+IF(J46=$G46,IF(L46=$I46,2,0),0))</f>
        <v/>
      </c>
      <c r="N46" s="3">
        <v>1</v>
      </c>
      <c r="O46" s="1" t="s">
        <v>1</v>
      </c>
      <c r="P46" s="7">
        <v>0</v>
      </c>
      <c r="Q46" s="9" t="str">
        <f t="shared" ref="Q46:Q50" si="157">IF(ISBLANK($G46)=TRUE,"",IF(SIGN(N46-P46)=SIGN($G46-$I46),1,0)+IF(N46=$G46,IF(P46=$I46,2,0),0))</f>
        <v/>
      </c>
      <c r="R46" s="3">
        <v>0</v>
      </c>
      <c r="S46" s="1" t="s">
        <v>1</v>
      </c>
      <c r="T46" s="7">
        <v>0</v>
      </c>
      <c r="U46" s="9" t="str">
        <f t="shared" ref="U46:U50" si="158">IF(ISBLANK($G46)=TRUE,"",IF(SIGN(R46-T46)=SIGN($G46-$I46),1,0)+IF(R46=$G46,IF(T46=$I46,2,0),0))</f>
        <v/>
      </c>
      <c r="V46" s="3">
        <v>1</v>
      </c>
      <c r="W46" s="1" t="s">
        <v>1</v>
      </c>
      <c r="X46" s="7">
        <v>1</v>
      </c>
      <c r="Y46" s="9" t="str">
        <f t="shared" ref="Y46:Y50" si="159">IF(ISBLANK($G46)=TRUE,"",IF(SIGN(V46-X46)=SIGN($G46-$I46),1,0)+IF(V46=$G46,IF(X46=$I46,2,0),0))</f>
        <v/>
      </c>
      <c r="Z46" s="3">
        <v>1</v>
      </c>
      <c r="AA46" s="1" t="s">
        <v>1</v>
      </c>
      <c r="AB46" s="7">
        <v>1</v>
      </c>
      <c r="AC46" s="9" t="str">
        <f t="shared" ref="AC46:AC50" si="160">IF(ISBLANK($G46)=TRUE,"",IF(SIGN(Z46-AB46)=SIGN($G46-$I46),1,0)+IF(Z46=$G46,IF(AB46=$I46,2,0),0))</f>
        <v/>
      </c>
      <c r="AD46" s="3">
        <v>2</v>
      </c>
      <c r="AE46" s="1" t="s">
        <v>1</v>
      </c>
      <c r="AF46" s="7">
        <v>1</v>
      </c>
      <c r="AG46" s="9" t="str">
        <f t="shared" ref="AG46:AG50" si="161">IF(ISBLANK($G46)=TRUE,"",IF(SIGN(AD46-AF46)=SIGN($G46-$I46),1,0)+IF(AD46=$G46,IF(AF46=$I46,2,0),0))</f>
        <v/>
      </c>
      <c r="AH46" s="3">
        <v>0</v>
      </c>
      <c r="AI46" s="1" t="s">
        <v>1</v>
      </c>
      <c r="AJ46" s="7">
        <v>1</v>
      </c>
      <c r="AK46" s="9" t="str">
        <f t="shared" ref="AK46:AK50" si="162">IF(ISBLANK($G46)=TRUE,"",IF(SIGN(AH46-AJ46)=SIGN($G46-$I46),1,0)+IF(AH46=$G46,IF(AJ46=$I46,2,0),0))</f>
        <v/>
      </c>
      <c r="AL46" s="3">
        <v>1</v>
      </c>
      <c r="AM46" s="1" t="s">
        <v>1</v>
      </c>
      <c r="AN46" s="7">
        <v>0</v>
      </c>
      <c r="AO46" s="9" t="str">
        <f t="shared" ref="AO46:AO50" si="163">IF(ISBLANK($G46)=TRUE,"",IF(SIGN(AL46-AN46)=SIGN($G46-$I46),1,0)+IF(AL46=$G46,IF(AN46=$I46,2,0),0))</f>
        <v/>
      </c>
      <c r="AP46" s="3">
        <v>1</v>
      </c>
      <c r="AQ46" s="1" t="s">
        <v>1</v>
      </c>
      <c r="AR46" s="7">
        <v>1</v>
      </c>
      <c r="AS46" s="9" t="str">
        <f t="shared" ref="AS46:AS50" si="164">IF(ISBLANK($G46)=TRUE,"",IF(SIGN(AP46-AR46)=SIGN($G46-$I46),1,0)+IF(AP46=$G46,IF(AR46=$I46,2,0),0))</f>
        <v/>
      </c>
      <c r="AT46" s="3">
        <v>0</v>
      </c>
      <c r="AU46" s="1" t="s">
        <v>1</v>
      </c>
      <c r="AV46" s="7">
        <v>1</v>
      </c>
      <c r="AW46" s="9" t="str">
        <f t="shared" ref="AW46:AW50" si="165">IF(ISBLANK($G46)=TRUE,"",IF(SIGN(AT46-AV46)=SIGN($G46-$I46),1,0)+IF(AT46=$G46,IF(AV46=$I46,2,0),0))</f>
        <v/>
      </c>
      <c r="AX46" s="3">
        <v>2</v>
      </c>
      <c r="AY46" s="1" t="s">
        <v>1</v>
      </c>
      <c r="AZ46" s="7">
        <v>0</v>
      </c>
      <c r="BA46" s="9" t="str">
        <f t="shared" ref="BA46:BA50" si="166">IF(ISBLANK($G46)=TRUE,"",IF(SIGN(AX46-AZ46)=SIGN($G46-$I46),1,0)+IF(AX46=$G46,IF(AZ46=$I46,2,0),0))</f>
        <v/>
      </c>
      <c r="BB46" s="3">
        <v>1</v>
      </c>
      <c r="BC46" s="1" t="s">
        <v>1</v>
      </c>
      <c r="BD46" s="7">
        <v>1</v>
      </c>
      <c r="BE46" s="9" t="str">
        <f t="shared" ref="BE46:BE50" si="167">IF(ISBLANK($G46)=TRUE,"",IF(SIGN(BB46-BD46)=SIGN($G46-$I46),1,0)+IF(BB46=$G46,IF(BD46=$I46,2,0),0))</f>
        <v/>
      </c>
      <c r="BF46" s="3">
        <v>0</v>
      </c>
      <c r="BG46" s="1" t="s">
        <v>1</v>
      </c>
      <c r="BH46" s="7">
        <v>0</v>
      </c>
      <c r="BI46" s="9" t="str">
        <f t="shared" ref="BI46:BI50" si="168">IF(ISBLANK($G46)=TRUE,"",IF(SIGN(BF46-BH46)=SIGN($G46-$I46),1,0)+IF(BF46=$G46,IF(BH46=$I46,2,0),0))</f>
        <v/>
      </c>
      <c r="BJ46" s="3">
        <v>0</v>
      </c>
      <c r="BK46" s="1" t="s">
        <v>1</v>
      </c>
      <c r="BL46" s="7">
        <v>1</v>
      </c>
      <c r="BM46" s="9" t="str">
        <f t="shared" ref="BM46:BM50" si="169">IF(ISBLANK($G46)=TRUE,"",IF(SIGN(BJ46-BL46)=SIGN($G46-$I46),1,0)+IF(BJ46=$G46,IF(BL46=$I46,2,0),0))</f>
        <v/>
      </c>
      <c r="BN46" s="3">
        <v>0</v>
      </c>
      <c r="BO46" s="1" t="s">
        <v>1</v>
      </c>
      <c r="BP46" s="7">
        <v>0</v>
      </c>
      <c r="BQ46" s="9" t="str">
        <f t="shared" ref="BQ46:BQ50" si="170">IF(ISBLANK($G46)=TRUE,"",IF(SIGN(BN46-BP46)=SIGN($G46-$I46),1,0)+IF(BN46=$G46,IF(BP46=$I46,2,0),0))</f>
        <v/>
      </c>
      <c r="BR46" s="3">
        <v>1</v>
      </c>
      <c r="BS46" s="1" t="s">
        <v>1</v>
      </c>
      <c r="BT46" s="7">
        <v>1</v>
      </c>
      <c r="BU46" s="9" t="str">
        <f t="shared" ref="BU46:BU50" si="171">IF(ISBLANK($G46)=TRUE,"",IF(SIGN(BR46-BT46)=SIGN($G46-$I46),1,0)+IF(BR46=$G46,IF(BT46=$I46,2,0),0))</f>
        <v/>
      </c>
      <c r="BV46" s="3">
        <v>1</v>
      </c>
      <c r="BW46" s="1" t="s">
        <v>1</v>
      </c>
      <c r="BX46" s="7">
        <v>1</v>
      </c>
      <c r="BY46" s="9" t="str">
        <f t="shared" ref="BY46:BY50" si="172">IF(ISBLANK($G46)=TRUE,"",IF(SIGN(BV46-BX46)=SIGN($G46-$I46),1,0)+IF(BV46=$G46,IF(BX46=$I46,2,0),0))</f>
        <v/>
      </c>
      <c r="BZ46" s="3">
        <v>2</v>
      </c>
      <c r="CA46" s="1" t="s">
        <v>1</v>
      </c>
      <c r="CB46" s="7">
        <v>0</v>
      </c>
      <c r="CC46" s="9" t="str">
        <f t="shared" ref="CC46:CC50" si="173">IF(ISBLANK($G46)=TRUE,"",IF(SIGN(BZ46-CB46)=SIGN($G46-$I46),1,0)+IF(BZ46=$G46,IF(CB46=$I46,2,0),0))</f>
        <v/>
      </c>
      <c r="CD46" s="3">
        <v>1</v>
      </c>
      <c r="CE46" s="1" t="s">
        <v>1</v>
      </c>
      <c r="CF46" s="7">
        <v>0</v>
      </c>
      <c r="CG46" s="9" t="str">
        <f t="shared" ref="CG46:CG50" si="174">IF(ISBLANK($G46)=TRUE,"",IF(SIGN(CD46-CF46)=SIGN($G46-$I46),1,0)+IF(CD46=$G46,IF(CF46=$I46,2,0),0))</f>
        <v/>
      </c>
      <c r="CH46" s="3">
        <v>1</v>
      </c>
      <c r="CI46" s="1" t="s">
        <v>1</v>
      </c>
      <c r="CJ46" s="7">
        <v>1</v>
      </c>
      <c r="CK46" s="9" t="str">
        <f t="shared" ref="CK46:CK50" si="175">IF(ISBLANK($G46)=TRUE,"",IF(SIGN(CH46-CJ46)=SIGN($G46-$I46),1,0)+IF(CH46=$G46,IF(CJ46=$I46,2,0),0))</f>
        <v/>
      </c>
      <c r="CL46" s="3">
        <v>0</v>
      </c>
      <c r="CM46" s="1" t="s">
        <v>1</v>
      </c>
      <c r="CN46" s="7">
        <v>1</v>
      </c>
      <c r="CO46" s="9" t="str">
        <f t="shared" ref="CO46:CO50" si="176">IF(ISBLANK($G46)=TRUE,"",IF(SIGN(CL46-CN46)=SIGN($G46-$I46),1,0)+IF(CL46=$G46,IF(CN46=$I46,2,0),0))</f>
        <v/>
      </c>
      <c r="CP46" s="3">
        <v>2</v>
      </c>
      <c r="CQ46" s="1" t="s">
        <v>1</v>
      </c>
      <c r="CR46" s="7">
        <v>1</v>
      </c>
      <c r="CS46" s="9" t="str">
        <f t="shared" ref="CS46:CS50" si="177">IF(ISBLANK($G46)=TRUE,"",IF(SIGN(CP46-CR46)=SIGN($G46-$I46),1,0)+IF(CP46=$G46,IF(CR46=$I46,2,0),0))</f>
        <v/>
      </c>
      <c r="CT46" s="3">
        <v>0</v>
      </c>
      <c r="CU46" s="1" t="s">
        <v>1</v>
      </c>
      <c r="CV46" s="7">
        <v>0</v>
      </c>
      <c r="CW46" s="9" t="str">
        <f t="shared" ref="CW46:CW50" si="178">IF(ISBLANK($G46)=TRUE,"",IF(SIGN(CT46-CV46)=SIGN($G46-$I46),1,0)+IF(CT46=$G46,IF(CV46=$I46,2,0),0))</f>
        <v/>
      </c>
      <c r="CX46" s="3">
        <v>1</v>
      </c>
      <c r="CY46" s="1" t="s">
        <v>1</v>
      </c>
      <c r="CZ46" s="7">
        <v>0</v>
      </c>
      <c r="DA46" s="9" t="str">
        <f t="shared" ref="DA46:DA50" si="179">IF(ISBLANK($G46)=TRUE,"",IF(SIGN(CX46-CZ46)=SIGN($G46-$I46),1,0)+IF(CX46=$G46,IF(CZ46=$I46,2,0),0))</f>
        <v/>
      </c>
      <c r="DB46" s="3">
        <v>1</v>
      </c>
      <c r="DC46" s="1" t="s">
        <v>1</v>
      </c>
      <c r="DD46" s="7">
        <v>1</v>
      </c>
      <c r="DE46" s="9" t="str">
        <f t="shared" ref="DE46:DE50" si="180">IF(ISBLANK($G46)=TRUE,"",IF(SIGN(DB46-DD46)=SIGN($G46-$I46),1,0)+IF(DB46=$G46,IF(DD46=$I46,2,0),0))</f>
        <v/>
      </c>
      <c r="DF46" s="3">
        <v>1</v>
      </c>
      <c r="DG46" s="1" t="s">
        <v>1</v>
      </c>
      <c r="DH46" s="7">
        <v>1</v>
      </c>
      <c r="DI46" s="9" t="str">
        <f t="shared" ref="DI46:DI50" si="181">IF(ISBLANK($G46)=TRUE,"",IF(SIGN(DF46-DH46)=SIGN($G46-$I46),1,0)+IF(DF46=$G46,IF(DH46=$I46,2,0),0))</f>
        <v/>
      </c>
    </row>
    <row r="47" spans="2:113" x14ac:dyDescent="0.3">
      <c r="B47" s="12">
        <v>46194</v>
      </c>
      <c r="C47" s="7" t="s">
        <v>63</v>
      </c>
      <c r="D47" s="3" t="s">
        <v>35</v>
      </c>
      <c r="E47" s="1" t="s">
        <v>1</v>
      </c>
      <c r="F47" s="5" t="s">
        <v>37</v>
      </c>
      <c r="G47" s="3"/>
      <c r="H47" s="1" t="s">
        <v>1</v>
      </c>
      <c r="I47" s="5"/>
      <c r="J47" s="3">
        <v>2</v>
      </c>
      <c r="K47" s="1" t="s">
        <v>1</v>
      </c>
      <c r="L47" s="7">
        <v>0</v>
      </c>
      <c r="M47" s="9" t="str">
        <f t="shared" si="156"/>
        <v/>
      </c>
      <c r="N47" s="3">
        <v>1</v>
      </c>
      <c r="O47" s="1" t="s">
        <v>1</v>
      </c>
      <c r="P47" s="7">
        <v>0</v>
      </c>
      <c r="Q47" s="9" t="str">
        <f t="shared" si="157"/>
        <v/>
      </c>
      <c r="R47" s="3">
        <v>1</v>
      </c>
      <c r="S47" s="1" t="s">
        <v>1</v>
      </c>
      <c r="T47" s="7">
        <v>0</v>
      </c>
      <c r="U47" s="9" t="str">
        <f t="shared" si="158"/>
        <v/>
      </c>
      <c r="V47" s="3">
        <v>2</v>
      </c>
      <c r="W47" s="1" t="s">
        <v>1</v>
      </c>
      <c r="X47" s="7">
        <v>0</v>
      </c>
      <c r="Y47" s="9" t="str">
        <f t="shared" si="159"/>
        <v/>
      </c>
      <c r="Z47" s="3">
        <v>2</v>
      </c>
      <c r="AA47" s="1" t="s">
        <v>1</v>
      </c>
      <c r="AB47" s="7">
        <v>0</v>
      </c>
      <c r="AC47" s="9" t="str">
        <f t="shared" si="160"/>
        <v/>
      </c>
      <c r="AD47" s="3">
        <v>2</v>
      </c>
      <c r="AE47" s="1" t="s">
        <v>1</v>
      </c>
      <c r="AF47" s="7">
        <v>0</v>
      </c>
      <c r="AG47" s="9" t="str">
        <f t="shared" si="161"/>
        <v/>
      </c>
      <c r="AH47" s="3">
        <v>2</v>
      </c>
      <c r="AI47" s="1" t="s">
        <v>1</v>
      </c>
      <c r="AJ47" s="7">
        <v>0</v>
      </c>
      <c r="AK47" s="9" t="str">
        <f t="shared" si="162"/>
        <v/>
      </c>
      <c r="AL47" s="3">
        <v>1</v>
      </c>
      <c r="AM47" s="1" t="s">
        <v>1</v>
      </c>
      <c r="AN47" s="7">
        <v>0</v>
      </c>
      <c r="AO47" s="9" t="str">
        <f t="shared" si="163"/>
        <v/>
      </c>
      <c r="AP47" s="3">
        <v>0</v>
      </c>
      <c r="AQ47" s="1" t="s">
        <v>1</v>
      </c>
      <c r="AR47" s="7">
        <v>0</v>
      </c>
      <c r="AS47" s="9" t="str">
        <f t="shared" si="164"/>
        <v/>
      </c>
      <c r="AT47" s="3">
        <v>3</v>
      </c>
      <c r="AU47" s="1" t="s">
        <v>1</v>
      </c>
      <c r="AV47" s="7">
        <v>1</v>
      </c>
      <c r="AW47" s="9" t="str">
        <f t="shared" si="165"/>
        <v/>
      </c>
      <c r="AX47" s="3">
        <v>0</v>
      </c>
      <c r="AY47" s="1" t="s">
        <v>1</v>
      </c>
      <c r="AZ47" s="7">
        <v>2</v>
      </c>
      <c r="BA47" s="9" t="str">
        <f t="shared" si="166"/>
        <v/>
      </c>
      <c r="BB47" s="3">
        <v>2</v>
      </c>
      <c r="BC47" s="1" t="s">
        <v>1</v>
      </c>
      <c r="BD47" s="7">
        <v>1</v>
      </c>
      <c r="BE47" s="9" t="str">
        <f t="shared" si="167"/>
        <v/>
      </c>
      <c r="BF47" s="3">
        <v>2</v>
      </c>
      <c r="BG47" s="1" t="s">
        <v>1</v>
      </c>
      <c r="BH47" s="7">
        <v>0</v>
      </c>
      <c r="BI47" s="9" t="str">
        <f t="shared" si="168"/>
        <v/>
      </c>
      <c r="BJ47" s="3">
        <v>2</v>
      </c>
      <c r="BK47" s="1" t="s">
        <v>1</v>
      </c>
      <c r="BL47" s="7">
        <v>0</v>
      </c>
      <c r="BM47" s="9" t="str">
        <f t="shared" si="169"/>
        <v/>
      </c>
      <c r="BN47" s="3">
        <v>2</v>
      </c>
      <c r="BO47" s="1" t="s">
        <v>1</v>
      </c>
      <c r="BP47" s="7">
        <v>0</v>
      </c>
      <c r="BQ47" s="9" t="str">
        <f t="shared" si="170"/>
        <v/>
      </c>
      <c r="BR47" s="3">
        <v>2</v>
      </c>
      <c r="BS47" s="1" t="s">
        <v>1</v>
      </c>
      <c r="BT47" s="7">
        <v>0</v>
      </c>
      <c r="BU47" s="9" t="str">
        <f t="shared" si="171"/>
        <v/>
      </c>
      <c r="BV47" s="3">
        <v>2</v>
      </c>
      <c r="BW47" s="1" t="s">
        <v>1</v>
      </c>
      <c r="BX47" s="7">
        <v>0</v>
      </c>
      <c r="BY47" s="9" t="str">
        <f t="shared" si="172"/>
        <v/>
      </c>
      <c r="BZ47" s="3">
        <v>2</v>
      </c>
      <c r="CA47" s="1" t="s">
        <v>1</v>
      </c>
      <c r="CB47" s="7">
        <v>2</v>
      </c>
      <c r="CC47" s="9" t="str">
        <f t="shared" si="173"/>
        <v/>
      </c>
      <c r="CD47" s="3">
        <v>3</v>
      </c>
      <c r="CE47" s="1" t="s">
        <v>1</v>
      </c>
      <c r="CF47" s="7">
        <v>0</v>
      </c>
      <c r="CG47" s="9" t="str">
        <f t="shared" si="174"/>
        <v/>
      </c>
      <c r="CH47" s="3">
        <v>3</v>
      </c>
      <c r="CI47" s="1" t="s">
        <v>1</v>
      </c>
      <c r="CJ47" s="7">
        <v>0</v>
      </c>
      <c r="CK47" s="9" t="str">
        <f t="shared" si="175"/>
        <v/>
      </c>
      <c r="CL47" s="3">
        <v>3</v>
      </c>
      <c r="CM47" s="1" t="s">
        <v>1</v>
      </c>
      <c r="CN47" s="7">
        <v>0</v>
      </c>
      <c r="CO47" s="9" t="str">
        <f t="shared" si="176"/>
        <v/>
      </c>
      <c r="CP47" s="3">
        <v>2</v>
      </c>
      <c r="CQ47" s="1" t="s">
        <v>1</v>
      </c>
      <c r="CR47" s="7">
        <v>0</v>
      </c>
      <c r="CS47" s="9" t="str">
        <f t="shared" si="177"/>
        <v/>
      </c>
      <c r="CT47" s="3">
        <v>2</v>
      </c>
      <c r="CU47" s="1" t="s">
        <v>1</v>
      </c>
      <c r="CV47" s="7">
        <v>0</v>
      </c>
      <c r="CW47" s="9" t="str">
        <f t="shared" si="178"/>
        <v/>
      </c>
      <c r="CX47" s="3">
        <v>2</v>
      </c>
      <c r="CY47" s="1" t="s">
        <v>1</v>
      </c>
      <c r="CZ47" s="7">
        <v>0</v>
      </c>
      <c r="DA47" s="9" t="str">
        <f t="shared" si="179"/>
        <v/>
      </c>
      <c r="DB47" s="3">
        <v>4</v>
      </c>
      <c r="DC47" s="1" t="s">
        <v>1</v>
      </c>
      <c r="DD47" s="7">
        <v>0</v>
      </c>
      <c r="DE47" s="9" t="str">
        <f t="shared" si="180"/>
        <v/>
      </c>
      <c r="DF47" s="3">
        <v>2</v>
      </c>
      <c r="DG47" s="1" t="s">
        <v>1</v>
      </c>
      <c r="DH47" s="7">
        <v>1</v>
      </c>
      <c r="DI47" s="9" t="str">
        <f t="shared" si="181"/>
        <v/>
      </c>
    </row>
    <row r="48" spans="2:113" x14ac:dyDescent="0.3">
      <c r="B48" s="12">
        <v>46195</v>
      </c>
      <c r="C48" s="7" t="s">
        <v>66</v>
      </c>
      <c r="D48" s="3" t="s">
        <v>38</v>
      </c>
      <c r="E48" s="1" t="s">
        <v>1</v>
      </c>
      <c r="F48" s="5" t="s">
        <v>36</v>
      </c>
      <c r="G48" s="3"/>
      <c r="H48" s="1" t="s">
        <v>1</v>
      </c>
      <c r="I48" s="5"/>
      <c r="J48" s="3">
        <v>1</v>
      </c>
      <c r="K48" s="1" t="s">
        <v>1</v>
      </c>
      <c r="L48" s="7">
        <v>2</v>
      </c>
      <c r="M48" s="9" t="str">
        <f t="shared" si="156"/>
        <v/>
      </c>
      <c r="N48" s="3">
        <v>1</v>
      </c>
      <c r="O48" s="1" t="s">
        <v>1</v>
      </c>
      <c r="P48" s="7">
        <v>1</v>
      </c>
      <c r="Q48" s="9" t="str">
        <f t="shared" si="157"/>
        <v/>
      </c>
      <c r="R48" s="3">
        <v>1</v>
      </c>
      <c r="S48" s="1" t="s">
        <v>1</v>
      </c>
      <c r="T48" s="7">
        <v>2</v>
      </c>
      <c r="U48" s="9" t="str">
        <f t="shared" si="158"/>
        <v/>
      </c>
      <c r="V48" s="3">
        <v>0</v>
      </c>
      <c r="W48" s="1" t="s">
        <v>1</v>
      </c>
      <c r="X48" s="7">
        <v>1</v>
      </c>
      <c r="Y48" s="9" t="str">
        <f t="shared" si="159"/>
        <v/>
      </c>
      <c r="Z48" s="3">
        <v>1</v>
      </c>
      <c r="AA48" s="1" t="s">
        <v>1</v>
      </c>
      <c r="AB48" s="7">
        <v>2</v>
      </c>
      <c r="AC48" s="9" t="str">
        <f t="shared" si="160"/>
        <v/>
      </c>
      <c r="AD48" s="3">
        <v>1</v>
      </c>
      <c r="AE48" s="1" t="s">
        <v>1</v>
      </c>
      <c r="AF48" s="7">
        <v>2</v>
      </c>
      <c r="AG48" s="9" t="str">
        <f t="shared" si="161"/>
        <v/>
      </c>
      <c r="AH48" s="3">
        <v>1</v>
      </c>
      <c r="AI48" s="1" t="s">
        <v>1</v>
      </c>
      <c r="AJ48" s="7">
        <v>1</v>
      </c>
      <c r="AK48" s="9" t="str">
        <f t="shared" si="162"/>
        <v/>
      </c>
      <c r="AL48" s="3">
        <v>0</v>
      </c>
      <c r="AM48" s="1" t="s">
        <v>1</v>
      </c>
      <c r="AN48" s="7">
        <v>1</v>
      </c>
      <c r="AO48" s="9" t="str">
        <f t="shared" si="163"/>
        <v/>
      </c>
      <c r="AP48" s="3">
        <v>1</v>
      </c>
      <c r="AQ48" s="1" t="s">
        <v>1</v>
      </c>
      <c r="AR48" s="7">
        <v>2</v>
      </c>
      <c r="AS48" s="9" t="str">
        <f t="shared" si="164"/>
        <v/>
      </c>
      <c r="AT48" s="3">
        <v>2</v>
      </c>
      <c r="AU48" s="1" t="s">
        <v>1</v>
      </c>
      <c r="AV48" s="7">
        <v>1</v>
      </c>
      <c r="AW48" s="9" t="str">
        <f t="shared" si="165"/>
        <v/>
      </c>
      <c r="AX48" s="3">
        <v>0</v>
      </c>
      <c r="AY48" s="1" t="s">
        <v>1</v>
      </c>
      <c r="AZ48" s="7">
        <v>2</v>
      </c>
      <c r="BA48" s="9" t="str">
        <f t="shared" si="166"/>
        <v/>
      </c>
      <c r="BB48" s="3">
        <v>1</v>
      </c>
      <c r="BC48" s="1" t="s">
        <v>1</v>
      </c>
      <c r="BD48" s="7">
        <v>1</v>
      </c>
      <c r="BE48" s="9" t="str">
        <f t="shared" si="167"/>
        <v/>
      </c>
      <c r="BF48" s="3">
        <v>0</v>
      </c>
      <c r="BG48" s="1" t="s">
        <v>1</v>
      </c>
      <c r="BH48" s="7">
        <v>1</v>
      </c>
      <c r="BI48" s="9" t="str">
        <f t="shared" si="168"/>
        <v/>
      </c>
      <c r="BJ48" s="3">
        <v>1</v>
      </c>
      <c r="BK48" s="1" t="s">
        <v>1</v>
      </c>
      <c r="BL48" s="7">
        <v>2</v>
      </c>
      <c r="BM48" s="9" t="str">
        <f t="shared" si="169"/>
        <v/>
      </c>
      <c r="BN48" s="3">
        <v>1</v>
      </c>
      <c r="BO48" s="1" t="s">
        <v>1</v>
      </c>
      <c r="BP48" s="7">
        <v>2</v>
      </c>
      <c r="BQ48" s="9" t="str">
        <f t="shared" si="170"/>
        <v/>
      </c>
      <c r="BR48" s="3">
        <v>0</v>
      </c>
      <c r="BS48" s="1" t="s">
        <v>1</v>
      </c>
      <c r="BT48" s="7">
        <v>2</v>
      </c>
      <c r="BU48" s="9" t="str">
        <f t="shared" si="171"/>
        <v/>
      </c>
      <c r="BV48" s="3">
        <v>1</v>
      </c>
      <c r="BW48" s="1" t="s">
        <v>1</v>
      </c>
      <c r="BX48" s="7">
        <v>3</v>
      </c>
      <c r="BY48" s="9" t="str">
        <f t="shared" si="172"/>
        <v/>
      </c>
      <c r="BZ48" s="3">
        <v>1</v>
      </c>
      <c r="CA48" s="1" t="s">
        <v>1</v>
      </c>
      <c r="CB48" s="7">
        <v>2</v>
      </c>
      <c r="CC48" s="9" t="str">
        <f t="shared" si="173"/>
        <v/>
      </c>
      <c r="CD48" s="3">
        <v>0</v>
      </c>
      <c r="CE48" s="1" t="s">
        <v>1</v>
      </c>
      <c r="CF48" s="7">
        <v>2</v>
      </c>
      <c r="CG48" s="9" t="str">
        <f t="shared" si="174"/>
        <v/>
      </c>
      <c r="CH48" s="3">
        <v>1</v>
      </c>
      <c r="CI48" s="1" t="s">
        <v>1</v>
      </c>
      <c r="CJ48" s="7">
        <v>2</v>
      </c>
      <c r="CK48" s="9" t="str">
        <f t="shared" si="175"/>
        <v/>
      </c>
      <c r="CL48" s="3">
        <v>1</v>
      </c>
      <c r="CM48" s="1" t="s">
        <v>1</v>
      </c>
      <c r="CN48" s="7">
        <v>1</v>
      </c>
      <c r="CO48" s="9" t="str">
        <f t="shared" si="176"/>
        <v/>
      </c>
      <c r="CP48" s="3">
        <v>1</v>
      </c>
      <c r="CQ48" s="1" t="s">
        <v>1</v>
      </c>
      <c r="CR48" s="7">
        <v>3</v>
      </c>
      <c r="CS48" s="9" t="str">
        <f t="shared" si="177"/>
        <v/>
      </c>
      <c r="CT48" s="3">
        <v>0</v>
      </c>
      <c r="CU48" s="1" t="s">
        <v>1</v>
      </c>
      <c r="CV48" s="7">
        <v>1</v>
      </c>
      <c r="CW48" s="9" t="str">
        <f t="shared" si="178"/>
        <v/>
      </c>
      <c r="CX48" s="3">
        <v>0</v>
      </c>
      <c r="CY48" s="1" t="s">
        <v>1</v>
      </c>
      <c r="CZ48" s="7">
        <v>2</v>
      </c>
      <c r="DA48" s="9" t="str">
        <f t="shared" si="179"/>
        <v/>
      </c>
      <c r="DB48" s="3">
        <v>0</v>
      </c>
      <c r="DC48" s="1" t="s">
        <v>1</v>
      </c>
      <c r="DD48" s="7">
        <v>4</v>
      </c>
      <c r="DE48" s="9" t="str">
        <f t="shared" si="180"/>
        <v/>
      </c>
      <c r="DF48" s="3">
        <v>1</v>
      </c>
      <c r="DG48" s="1" t="s">
        <v>1</v>
      </c>
      <c r="DH48" s="7">
        <v>3</v>
      </c>
      <c r="DI48" s="9" t="str">
        <f t="shared" si="181"/>
        <v/>
      </c>
    </row>
    <row r="49" spans="2:113" x14ac:dyDescent="0.3">
      <c r="B49" s="12">
        <v>46200</v>
      </c>
      <c r="C49" s="7" t="s">
        <v>70</v>
      </c>
      <c r="D49" s="3" t="s">
        <v>36</v>
      </c>
      <c r="E49" s="1" t="s">
        <v>1</v>
      </c>
      <c r="F49" s="5" t="s">
        <v>37</v>
      </c>
      <c r="G49" s="3"/>
      <c r="H49" s="1" t="s">
        <v>1</v>
      </c>
      <c r="I49" s="5"/>
      <c r="J49" s="3">
        <v>2</v>
      </c>
      <c r="K49" s="1" t="s">
        <v>1</v>
      </c>
      <c r="L49" s="7">
        <v>2</v>
      </c>
      <c r="M49" s="9" t="str">
        <f t="shared" si="156"/>
        <v/>
      </c>
      <c r="N49" s="3">
        <v>1</v>
      </c>
      <c r="O49" s="1" t="s">
        <v>1</v>
      </c>
      <c r="P49" s="7">
        <v>2</v>
      </c>
      <c r="Q49" s="9" t="str">
        <f t="shared" si="157"/>
        <v/>
      </c>
      <c r="R49" s="3">
        <v>2</v>
      </c>
      <c r="S49" s="1" t="s">
        <v>1</v>
      </c>
      <c r="T49" s="7">
        <v>0</v>
      </c>
      <c r="U49" s="9" t="str">
        <f t="shared" si="158"/>
        <v/>
      </c>
      <c r="V49" s="3">
        <v>2</v>
      </c>
      <c r="W49" s="1" t="s">
        <v>1</v>
      </c>
      <c r="X49" s="7">
        <v>0</v>
      </c>
      <c r="Y49" s="9" t="str">
        <f t="shared" si="159"/>
        <v/>
      </c>
      <c r="Z49" s="3">
        <v>2</v>
      </c>
      <c r="AA49" s="1" t="s">
        <v>1</v>
      </c>
      <c r="AB49" s="7">
        <v>0</v>
      </c>
      <c r="AC49" s="9" t="str">
        <f t="shared" si="160"/>
        <v/>
      </c>
      <c r="AD49" s="3">
        <v>2</v>
      </c>
      <c r="AE49" s="1" t="s">
        <v>1</v>
      </c>
      <c r="AF49" s="7">
        <v>2</v>
      </c>
      <c r="AG49" s="9" t="str">
        <f t="shared" si="161"/>
        <v/>
      </c>
      <c r="AH49" s="3">
        <v>1</v>
      </c>
      <c r="AI49" s="1" t="s">
        <v>1</v>
      </c>
      <c r="AJ49" s="7">
        <v>1</v>
      </c>
      <c r="AK49" s="9" t="str">
        <f t="shared" si="162"/>
        <v/>
      </c>
      <c r="AL49" s="3">
        <v>0</v>
      </c>
      <c r="AM49" s="1" t="s">
        <v>1</v>
      </c>
      <c r="AN49" s="7">
        <v>0</v>
      </c>
      <c r="AO49" s="9" t="str">
        <f t="shared" si="163"/>
        <v/>
      </c>
      <c r="AP49" s="3">
        <v>0</v>
      </c>
      <c r="AQ49" s="1" t="s">
        <v>1</v>
      </c>
      <c r="AR49" s="7">
        <v>2</v>
      </c>
      <c r="AS49" s="9" t="str">
        <f t="shared" si="164"/>
        <v/>
      </c>
      <c r="AT49" s="3">
        <v>2</v>
      </c>
      <c r="AU49" s="1" t="s">
        <v>1</v>
      </c>
      <c r="AV49" s="7">
        <v>2</v>
      </c>
      <c r="AW49" s="9" t="str">
        <f t="shared" si="165"/>
        <v/>
      </c>
      <c r="AX49" s="3">
        <v>1</v>
      </c>
      <c r="AY49" s="1" t="s">
        <v>1</v>
      </c>
      <c r="AZ49" s="7">
        <v>2</v>
      </c>
      <c r="BA49" s="9" t="str">
        <f t="shared" si="166"/>
        <v/>
      </c>
      <c r="BB49" s="3">
        <v>1</v>
      </c>
      <c r="BC49" s="1" t="s">
        <v>1</v>
      </c>
      <c r="BD49" s="7">
        <v>1</v>
      </c>
      <c r="BE49" s="9" t="str">
        <f t="shared" si="167"/>
        <v/>
      </c>
      <c r="BF49" s="3">
        <v>1</v>
      </c>
      <c r="BG49" s="1" t="s">
        <v>1</v>
      </c>
      <c r="BH49" s="7">
        <v>2</v>
      </c>
      <c r="BI49" s="9" t="str">
        <f t="shared" si="168"/>
        <v/>
      </c>
      <c r="BJ49" s="3">
        <v>1</v>
      </c>
      <c r="BK49" s="1" t="s">
        <v>1</v>
      </c>
      <c r="BL49" s="7">
        <v>0</v>
      </c>
      <c r="BM49" s="9" t="str">
        <f t="shared" si="169"/>
        <v/>
      </c>
      <c r="BN49" s="3">
        <v>2</v>
      </c>
      <c r="BO49" s="1" t="s">
        <v>1</v>
      </c>
      <c r="BP49" s="7">
        <v>1</v>
      </c>
      <c r="BQ49" s="9" t="str">
        <f t="shared" si="170"/>
        <v/>
      </c>
      <c r="BR49" s="3">
        <v>1</v>
      </c>
      <c r="BS49" s="1" t="s">
        <v>1</v>
      </c>
      <c r="BT49" s="7">
        <v>1</v>
      </c>
      <c r="BU49" s="9" t="str">
        <f t="shared" si="171"/>
        <v/>
      </c>
      <c r="BV49" s="3">
        <v>1</v>
      </c>
      <c r="BW49" s="1" t="s">
        <v>1</v>
      </c>
      <c r="BX49" s="7">
        <v>1</v>
      </c>
      <c r="BY49" s="9" t="str">
        <f t="shared" si="172"/>
        <v/>
      </c>
      <c r="BZ49" s="3">
        <v>1</v>
      </c>
      <c r="CA49" s="1" t="s">
        <v>1</v>
      </c>
      <c r="CB49" s="7">
        <v>3</v>
      </c>
      <c r="CC49" s="9" t="str">
        <f t="shared" si="173"/>
        <v/>
      </c>
      <c r="CD49" s="3">
        <v>1</v>
      </c>
      <c r="CE49" s="1" t="s">
        <v>1</v>
      </c>
      <c r="CF49" s="7">
        <v>1</v>
      </c>
      <c r="CG49" s="9" t="str">
        <f t="shared" si="174"/>
        <v/>
      </c>
      <c r="CH49" s="3">
        <v>2</v>
      </c>
      <c r="CI49" s="1" t="s">
        <v>1</v>
      </c>
      <c r="CJ49" s="7">
        <v>1</v>
      </c>
      <c r="CK49" s="9" t="str">
        <f t="shared" si="175"/>
        <v/>
      </c>
      <c r="CL49" s="3">
        <v>2</v>
      </c>
      <c r="CM49" s="1" t="s">
        <v>1</v>
      </c>
      <c r="CN49" s="7">
        <v>0</v>
      </c>
      <c r="CO49" s="9" t="str">
        <f t="shared" si="176"/>
        <v/>
      </c>
      <c r="CP49" s="3">
        <v>1</v>
      </c>
      <c r="CQ49" s="1" t="s">
        <v>1</v>
      </c>
      <c r="CR49" s="7">
        <v>1</v>
      </c>
      <c r="CS49" s="9" t="str">
        <f t="shared" si="177"/>
        <v/>
      </c>
      <c r="CT49" s="3">
        <v>1</v>
      </c>
      <c r="CU49" s="1" t="s">
        <v>1</v>
      </c>
      <c r="CV49" s="7">
        <v>1</v>
      </c>
      <c r="CW49" s="9" t="str">
        <f t="shared" si="178"/>
        <v/>
      </c>
      <c r="CX49" s="3">
        <v>1</v>
      </c>
      <c r="CY49" s="1" t="s">
        <v>1</v>
      </c>
      <c r="CZ49" s="7">
        <v>1</v>
      </c>
      <c r="DA49" s="9" t="str">
        <f t="shared" si="179"/>
        <v/>
      </c>
      <c r="DB49" s="3">
        <v>3</v>
      </c>
      <c r="DC49" s="1" t="s">
        <v>1</v>
      </c>
      <c r="DD49" s="7">
        <v>0</v>
      </c>
      <c r="DE49" s="9" t="str">
        <f t="shared" si="180"/>
        <v/>
      </c>
      <c r="DF49" s="3">
        <v>2</v>
      </c>
      <c r="DG49" s="1" t="s">
        <v>1</v>
      </c>
      <c r="DH49" s="7">
        <v>2</v>
      </c>
      <c r="DI49" s="9" t="str">
        <f t="shared" si="181"/>
        <v/>
      </c>
    </row>
    <row r="50" spans="2:113" ht="15" thickBot="1" x14ac:dyDescent="0.35">
      <c r="B50" s="13">
        <v>46200</v>
      </c>
      <c r="C50" s="8" t="s">
        <v>70</v>
      </c>
      <c r="D50" s="4" t="s">
        <v>38</v>
      </c>
      <c r="E50" s="2" t="s">
        <v>1</v>
      </c>
      <c r="F50" s="6" t="s">
        <v>35</v>
      </c>
      <c r="G50" s="4"/>
      <c r="H50" s="2" t="s">
        <v>1</v>
      </c>
      <c r="I50" s="6"/>
      <c r="J50" s="4">
        <v>0</v>
      </c>
      <c r="K50" s="2" t="s">
        <v>1</v>
      </c>
      <c r="L50" s="8">
        <v>2</v>
      </c>
      <c r="M50" s="10" t="str">
        <f t="shared" si="156"/>
        <v/>
      </c>
      <c r="N50" s="4">
        <v>0</v>
      </c>
      <c r="O50" s="2" t="s">
        <v>1</v>
      </c>
      <c r="P50" s="8">
        <v>2</v>
      </c>
      <c r="Q50" s="10" t="str">
        <f t="shared" si="157"/>
        <v/>
      </c>
      <c r="R50" s="4">
        <v>1</v>
      </c>
      <c r="S50" s="2" t="s">
        <v>1</v>
      </c>
      <c r="T50" s="8">
        <v>1</v>
      </c>
      <c r="U50" s="10" t="str">
        <f t="shared" si="158"/>
        <v/>
      </c>
      <c r="V50" s="4">
        <v>0</v>
      </c>
      <c r="W50" s="2" t="s">
        <v>1</v>
      </c>
      <c r="X50" s="8">
        <v>2</v>
      </c>
      <c r="Y50" s="10" t="str">
        <f t="shared" si="159"/>
        <v/>
      </c>
      <c r="Z50" s="4">
        <v>0</v>
      </c>
      <c r="AA50" s="2" t="s">
        <v>1</v>
      </c>
      <c r="AB50" s="8">
        <v>2</v>
      </c>
      <c r="AC50" s="10" t="str">
        <f t="shared" si="160"/>
        <v/>
      </c>
      <c r="AD50" s="4">
        <v>0</v>
      </c>
      <c r="AE50" s="2" t="s">
        <v>1</v>
      </c>
      <c r="AF50" s="8">
        <v>4</v>
      </c>
      <c r="AG50" s="10" t="str">
        <f t="shared" si="161"/>
        <v/>
      </c>
      <c r="AH50" s="4">
        <v>0</v>
      </c>
      <c r="AI50" s="2" t="s">
        <v>1</v>
      </c>
      <c r="AJ50" s="8">
        <v>2</v>
      </c>
      <c r="AK50" s="10" t="str">
        <f t="shared" si="162"/>
        <v/>
      </c>
      <c r="AL50" s="4">
        <v>0</v>
      </c>
      <c r="AM50" s="2" t="s">
        <v>1</v>
      </c>
      <c r="AN50" s="8">
        <v>1</v>
      </c>
      <c r="AO50" s="10" t="str">
        <f t="shared" si="163"/>
        <v/>
      </c>
      <c r="AP50" s="4">
        <v>1</v>
      </c>
      <c r="AQ50" s="2" t="s">
        <v>1</v>
      </c>
      <c r="AR50" s="8">
        <v>2</v>
      </c>
      <c r="AS50" s="10" t="str">
        <f t="shared" si="164"/>
        <v/>
      </c>
      <c r="AT50" s="4">
        <v>1</v>
      </c>
      <c r="AU50" s="2" t="s">
        <v>1</v>
      </c>
      <c r="AV50" s="8">
        <v>1</v>
      </c>
      <c r="AW50" s="10" t="str">
        <f t="shared" si="165"/>
        <v/>
      </c>
      <c r="AX50" s="4">
        <v>1</v>
      </c>
      <c r="AY50" s="2" t="s">
        <v>1</v>
      </c>
      <c r="AZ50" s="8">
        <v>2</v>
      </c>
      <c r="BA50" s="10" t="str">
        <f t="shared" si="166"/>
        <v/>
      </c>
      <c r="BB50" s="4">
        <v>1</v>
      </c>
      <c r="BC50" s="2" t="s">
        <v>1</v>
      </c>
      <c r="BD50" s="8">
        <v>3</v>
      </c>
      <c r="BE50" s="10" t="str">
        <f t="shared" si="167"/>
        <v/>
      </c>
      <c r="BF50" s="4">
        <v>0</v>
      </c>
      <c r="BG50" s="2" t="s">
        <v>1</v>
      </c>
      <c r="BH50" s="8">
        <v>2</v>
      </c>
      <c r="BI50" s="10" t="str">
        <f t="shared" si="168"/>
        <v/>
      </c>
      <c r="BJ50" s="4">
        <v>1</v>
      </c>
      <c r="BK50" s="2" t="s">
        <v>1</v>
      </c>
      <c r="BL50" s="8">
        <v>3</v>
      </c>
      <c r="BM50" s="10" t="str">
        <f t="shared" si="169"/>
        <v/>
      </c>
      <c r="BN50" s="4">
        <v>0</v>
      </c>
      <c r="BO50" s="2" t="s">
        <v>1</v>
      </c>
      <c r="BP50" s="8">
        <v>2</v>
      </c>
      <c r="BQ50" s="10" t="str">
        <f t="shared" si="170"/>
        <v/>
      </c>
      <c r="BR50" s="4">
        <v>1</v>
      </c>
      <c r="BS50" s="2" t="s">
        <v>1</v>
      </c>
      <c r="BT50" s="8">
        <v>2</v>
      </c>
      <c r="BU50" s="10" t="str">
        <f t="shared" si="171"/>
        <v/>
      </c>
      <c r="BV50" s="4">
        <v>0</v>
      </c>
      <c r="BW50" s="2" t="s">
        <v>1</v>
      </c>
      <c r="BX50" s="8">
        <v>2</v>
      </c>
      <c r="BY50" s="10" t="str">
        <f t="shared" si="172"/>
        <v/>
      </c>
      <c r="BZ50" s="4">
        <v>0</v>
      </c>
      <c r="CA50" s="2" t="s">
        <v>1</v>
      </c>
      <c r="CB50" s="8">
        <v>3</v>
      </c>
      <c r="CC50" s="10" t="str">
        <f t="shared" si="173"/>
        <v/>
      </c>
      <c r="CD50" s="4">
        <v>0</v>
      </c>
      <c r="CE50" s="2" t="s">
        <v>1</v>
      </c>
      <c r="CF50" s="8">
        <v>3</v>
      </c>
      <c r="CG50" s="10" t="str">
        <f t="shared" si="174"/>
        <v/>
      </c>
      <c r="CH50" s="4">
        <v>0</v>
      </c>
      <c r="CI50" s="2" t="s">
        <v>1</v>
      </c>
      <c r="CJ50" s="8">
        <v>4</v>
      </c>
      <c r="CK50" s="10" t="str">
        <f t="shared" si="175"/>
        <v/>
      </c>
      <c r="CL50" s="4">
        <v>0</v>
      </c>
      <c r="CM50" s="2" t="s">
        <v>1</v>
      </c>
      <c r="CN50" s="8">
        <v>3</v>
      </c>
      <c r="CO50" s="10" t="str">
        <f t="shared" si="176"/>
        <v/>
      </c>
      <c r="CP50" s="4">
        <v>0</v>
      </c>
      <c r="CQ50" s="2" t="s">
        <v>1</v>
      </c>
      <c r="CR50" s="8">
        <v>3</v>
      </c>
      <c r="CS50" s="10" t="str">
        <f t="shared" si="177"/>
        <v/>
      </c>
      <c r="CT50" s="4">
        <v>1</v>
      </c>
      <c r="CU50" s="2" t="s">
        <v>1</v>
      </c>
      <c r="CV50" s="8">
        <v>3</v>
      </c>
      <c r="CW50" s="10" t="str">
        <f t="shared" si="178"/>
        <v/>
      </c>
      <c r="CX50" s="4">
        <v>0</v>
      </c>
      <c r="CY50" s="2" t="s">
        <v>1</v>
      </c>
      <c r="CZ50" s="8">
        <v>3</v>
      </c>
      <c r="DA50" s="10" t="str">
        <f t="shared" si="179"/>
        <v/>
      </c>
      <c r="DB50" s="4">
        <v>0</v>
      </c>
      <c r="DC50" s="2" t="s">
        <v>1</v>
      </c>
      <c r="DD50" s="8">
        <v>4</v>
      </c>
      <c r="DE50" s="10" t="str">
        <f t="shared" si="180"/>
        <v/>
      </c>
      <c r="DF50" s="4">
        <v>1</v>
      </c>
      <c r="DG50" s="2" t="s">
        <v>1</v>
      </c>
      <c r="DH50" s="8">
        <v>2</v>
      </c>
      <c r="DI50" s="10" t="str">
        <f t="shared" si="181"/>
        <v/>
      </c>
    </row>
    <row r="51" spans="2:113" ht="15" thickBot="1" x14ac:dyDescent="0.35">
      <c r="B51" s="51" t="s">
        <v>77</v>
      </c>
      <c r="C51" s="52" t="s">
        <v>78</v>
      </c>
      <c r="D51" s="157" t="s">
        <v>14</v>
      </c>
      <c r="E51" s="158"/>
      <c r="F51" s="159"/>
      <c r="G51" s="53" t="s">
        <v>7</v>
      </c>
      <c r="H51" s="54"/>
      <c r="I51" s="55"/>
      <c r="J51" s="61"/>
      <c r="K51" s="62"/>
      <c r="L51" s="62"/>
      <c r="M51" s="63"/>
      <c r="N51" s="64"/>
      <c r="O51" s="65"/>
      <c r="P51" s="65"/>
      <c r="Q51" s="66"/>
      <c r="R51" s="67"/>
      <c r="S51" s="68"/>
      <c r="T51" s="68"/>
      <c r="U51" s="69"/>
      <c r="V51" s="109"/>
      <c r="W51" s="110"/>
      <c r="X51" s="110"/>
      <c r="Y51" s="111"/>
      <c r="Z51" s="70"/>
      <c r="AA51" s="71"/>
      <c r="AB51" s="71"/>
      <c r="AC51" s="72"/>
      <c r="AD51" s="73"/>
      <c r="AE51" s="74"/>
      <c r="AF51" s="74"/>
      <c r="AG51" s="75"/>
      <c r="AH51" s="76"/>
      <c r="AI51" s="77"/>
      <c r="AJ51" s="77"/>
      <c r="AK51" s="78"/>
      <c r="AL51" s="79"/>
      <c r="AM51" s="80"/>
      <c r="AN51" s="80"/>
      <c r="AO51" s="81"/>
      <c r="AP51" s="41"/>
      <c r="AQ51" s="42"/>
      <c r="AR51" s="42"/>
      <c r="AS51" s="43"/>
      <c r="AT51" s="82"/>
      <c r="AU51" s="83"/>
      <c r="AV51" s="83"/>
      <c r="AW51" s="84"/>
      <c r="AX51" s="85"/>
      <c r="AY51" s="86"/>
      <c r="AZ51" s="86"/>
      <c r="BA51" s="87"/>
      <c r="BB51" s="88"/>
      <c r="BC51" s="89"/>
      <c r="BD51" s="89"/>
      <c r="BE51" s="90"/>
      <c r="BF51" s="91"/>
      <c r="BG51" s="92"/>
      <c r="BH51" s="92"/>
      <c r="BI51" s="93"/>
      <c r="BJ51" s="94"/>
      <c r="BK51" s="95"/>
      <c r="BL51" s="95"/>
      <c r="BM51" s="96"/>
      <c r="BN51" s="34"/>
      <c r="BO51" s="36"/>
      <c r="BP51" s="36"/>
      <c r="BQ51" s="35"/>
      <c r="BR51" s="79"/>
      <c r="BS51" s="80"/>
      <c r="BT51" s="80"/>
      <c r="BU51" s="81"/>
      <c r="BV51" s="97"/>
      <c r="BW51" s="98"/>
      <c r="BX51" s="98"/>
      <c r="BY51" s="99"/>
      <c r="BZ51" s="41"/>
      <c r="CA51" s="42"/>
      <c r="CB51" s="42"/>
      <c r="CC51" s="43"/>
      <c r="CD51" s="100"/>
      <c r="CE51" s="101"/>
      <c r="CF51" s="101"/>
      <c r="CG51" s="102"/>
      <c r="CH51" s="103"/>
      <c r="CI51" s="104"/>
      <c r="CJ51" s="104"/>
      <c r="CK51" s="105"/>
      <c r="CL51" s="109"/>
      <c r="CM51" s="110"/>
      <c r="CN51" s="110"/>
      <c r="CO51" s="111"/>
      <c r="CP51" s="106"/>
      <c r="CQ51" s="107"/>
      <c r="CR51" s="107"/>
      <c r="CS51" s="108"/>
      <c r="CT51" s="85"/>
      <c r="CU51" s="86"/>
      <c r="CV51" s="86"/>
      <c r="CW51" s="87"/>
      <c r="CX51" s="133"/>
      <c r="CY51" s="134"/>
      <c r="CZ51" s="134"/>
      <c r="DA51" s="135"/>
      <c r="DB51" s="137"/>
      <c r="DC51" s="138"/>
      <c r="DD51" s="138"/>
      <c r="DE51" s="139"/>
      <c r="DF51" s="53"/>
      <c r="DG51" s="54"/>
      <c r="DH51" s="54"/>
      <c r="DI51" s="55"/>
    </row>
    <row r="52" spans="2:113" x14ac:dyDescent="0.3">
      <c r="B52" s="12">
        <v>46188</v>
      </c>
      <c r="C52" s="7" t="s">
        <v>65</v>
      </c>
      <c r="D52" s="3" t="s">
        <v>39</v>
      </c>
      <c r="E52" s="1" t="s">
        <v>1</v>
      </c>
      <c r="F52" s="5" t="s">
        <v>40</v>
      </c>
      <c r="G52" s="3"/>
      <c r="H52" s="1" t="s">
        <v>1</v>
      </c>
      <c r="I52" s="5"/>
      <c r="J52" s="3">
        <v>2</v>
      </c>
      <c r="K52" s="1" t="s">
        <v>1</v>
      </c>
      <c r="L52" s="7">
        <v>0</v>
      </c>
      <c r="M52" s="11" t="str">
        <f>IF(ISBLANK($I52)=TRUE,"",IF(SIGN(J52-L52)=SIGN($G52-$I52),1,0)+IF(J52=$G52,IF(L52=$I52,2,0),0))</f>
        <v/>
      </c>
      <c r="N52" s="3">
        <v>3</v>
      </c>
      <c r="O52" s="1" t="s">
        <v>1</v>
      </c>
      <c r="P52" s="7">
        <v>0</v>
      </c>
      <c r="Q52" s="11" t="str">
        <f>IF(ISBLANK($I52)=TRUE,"",IF(SIGN(N52-P52)=SIGN($G52-$I52),1,0)+IF(N52=$G52,IF(P52=$I52,2,0),0))</f>
        <v/>
      </c>
      <c r="R52" s="3">
        <v>4</v>
      </c>
      <c r="S52" s="1" t="s">
        <v>1</v>
      </c>
      <c r="T52" s="7">
        <v>0</v>
      </c>
      <c r="U52" s="11" t="str">
        <f>IF(ISBLANK($I52)=TRUE,"",IF(SIGN(R52-T52)=SIGN($G52-$I52),1,0)+IF(R52=$G52,IF(T52=$I52,2,0),0))</f>
        <v/>
      </c>
      <c r="V52" s="3">
        <v>4</v>
      </c>
      <c r="W52" s="1" t="s">
        <v>1</v>
      </c>
      <c r="X52" s="7">
        <v>0</v>
      </c>
      <c r="Y52" s="11" t="str">
        <f>IF(ISBLANK($I52)=TRUE,"",IF(SIGN(V52-X52)=SIGN($G52-$I52),1,0)+IF(V52=$G52,IF(X52=$I52,2,0),0))</f>
        <v/>
      </c>
      <c r="Z52" s="3">
        <v>6</v>
      </c>
      <c r="AA52" s="1" t="s">
        <v>1</v>
      </c>
      <c r="AB52" s="7">
        <v>0</v>
      </c>
      <c r="AC52" s="11" t="str">
        <f>IF(ISBLANK($I52)=TRUE,"",IF(SIGN(Z52-AB52)=SIGN($G52-$I52),1,0)+IF(Z52=$G52,IF(AB52=$I52,2,0),0))</f>
        <v/>
      </c>
      <c r="AD52" s="3">
        <v>2</v>
      </c>
      <c r="AE52" s="1" t="s">
        <v>1</v>
      </c>
      <c r="AF52" s="7">
        <v>0</v>
      </c>
      <c r="AG52" s="11" t="str">
        <f>IF(ISBLANK($I52)=TRUE,"",IF(SIGN(AD52-AF52)=SIGN($G52-$I52),1,0)+IF(AD52=$G52,IF(AF52=$I52,2,0),0))</f>
        <v/>
      </c>
      <c r="AH52" s="3">
        <v>4</v>
      </c>
      <c r="AI52" s="1" t="s">
        <v>1</v>
      </c>
      <c r="AJ52" s="7">
        <v>0</v>
      </c>
      <c r="AK52" s="11" t="str">
        <f>IF(ISBLANK($I52)=TRUE,"",IF(SIGN(AH52-AJ52)=SIGN($G52-$I52),1,0)+IF(AH52=$G52,IF(AJ52=$I52,2,0),0))</f>
        <v/>
      </c>
      <c r="AL52" s="3">
        <v>2</v>
      </c>
      <c r="AM52" s="1" t="s">
        <v>1</v>
      </c>
      <c r="AN52" s="7">
        <v>0</v>
      </c>
      <c r="AO52" s="11" t="str">
        <f>IF(ISBLANK($I52)=TRUE,"",IF(SIGN(AL52-AN52)=SIGN($G52-$I52),1,0)+IF(AL52=$G52,IF(AN52=$I52,2,0),0))</f>
        <v/>
      </c>
      <c r="AP52" s="3">
        <v>2</v>
      </c>
      <c r="AQ52" s="1" t="s">
        <v>1</v>
      </c>
      <c r="AR52" s="7">
        <v>0</v>
      </c>
      <c r="AS52" s="11" t="str">
        <f>IF(ISBLANK($I52)=TRUE,"",IF(SIGN(AP52-AR52)=SIGN($G52-$I52),1,0)+IF(AP52=$G52,IF(AR52=$I52,2,0),0))</f>
        <v/>
      </c>
      <c r="AT52" s="3">
        <v>3</v>
      </c>
      <c r="AU52" s="1" t="s">
        <v>1</v>
      </c>
      <c r="AV52" s="7">
        <v>0</v>
      </c>
      <c r="AW52" s="11" t="str">
        <f>IF(ISBLANK($I52)=TRUE,"",IF(SIGN(AT52-AV52)=SIGN($G52-$I52),1,0)+IF(AT52=$G52,IF(AV52=$I52,2,0),0))</f>
        <v/>
      </c>
      <c r="AX52" s="3">
        <v>3</v>
      </c>
      <c r="AY52" s="1" t="s">
        <v>1</v>
      </c>
      <c r="AZ52" s="7">
        <v>0</v>
      </c>
      <c r="BA52" s="11" t="str">
        <f>IF(ISBLANK($I52)=TRUE,"",IF(SIGN(AX52-AZ52)=SIGN($G52-$I52),1,0)+IF(AX52=$G52,IF(AZ52=$I52,2,0),0))</f>
        <v/>
      </c>
      <c r="BB52" s="3">
        <v>5</v>
      </c>
      <c r="BC52" s="1" t="s">
        <v>1</v>
      </c>
      <c r="BD52" s="7">
        <v>0</v>
      </c>
      <c r="BE52" s="11" t="str">
        <f>IF(ISBLANK($I52)=TRUE,"",IF(SIGN(BB52-BD52)=SIGN($G52-$I52),1,0)+IF(BB52=$G52,IF(BD52=$I52,2,0),0))</f>
        <v/>
      </c>
      <c r="BF52" s="3">
        <v>7</v>
      </c>
      <c r="BG52" s="1" t="s">
        <v>1</v>
      </c>
      <c r="BH52" s="7">
        <v>0</v>
      </c>
      <c r="BI52" s="11" t="str">
        <f>IF(ISBLANK($I52)=TRUE,"",IF(SIGN(BF52-BH52)=SIGN($G52-$I52),1,0)+IF(BF52=$G52,IF(BH52=$I52,2,0),0))</f>
        <v/>
      </c>
      <c r="BJ52" s="3">
        <v>3</v>
      </c>
      <c r="BK52" s="1" t="s">
        <v>1</v>
      </c>
      <c r="BL52" s="7">
        <v>0</v>
      </c>
      <c r="BM52" s="11" t="str">
        <f>IF(ISBLANK($I52)=TRUE,"",IF(SIGN(BJ52-BL52)=SIGN($G52-$I52),1,0)+IF(BJ52=$G52,IF(BL52=$I52,2,0),0))</f>
        <v/>
      </c>
      <c r="BN52" s="3">
        <v>5</v>
      </c>
      <c r="BO52" s="1" t="s">
        <v>1</v>
      </c>
      <c r="BP52" s="7">
        <v>0</v>
      </c>
      <c r="BQ52" s="11" t="str">
        <f>IF(ISBLANK($I52)=TRUE,"",IF(SIGN(BN52-BP52)=SIGN($G52-$I52),1,0)+IF(BN52=$G52,IF(BP52=$I52,2,0),0))</f>
        <v/>
      </c>
      <c r="BR52" s="3">
        <v>5</v>
      </c>
      <c r="BS52" s="1" t="s">
        <v>1</v>
      </c>
      <c r="BT52" s="7">
        <v>0</v>
      </c>
      <c r="BU52" s="11" t="str">
        <f>IF(ISBLANK($I52)=TRUE,"",IF(SIGN(BR52-BT52)=SIGN($G52-$I52),1,0)+IF(BR52=$G52,IF(BT52=$I52,2,0),0))</f>
        <v/>
      </c>
      <c r="BV52" s="3">
        <v>4</v>
      </c>
      <c r="BW52" s="1" t="s">
        <v>1</v>
      </c>
      <c r="BX52" s="7">
        <v>0</v>
      </c>
      <c r="BY52" s="11" t="str">
        <f>IF(ISBLANK($I52)=TRUE,"",IF(SIGN(BV52-BX52)=SIGN($G52-$I52),1,0)+IF(BV52=$G52,IF(BX52=$I52,2,0),0))</f>
        <v/>
      </c>
      <c r="BZ52" s="3">
        <v>4</v>
      </c>
      <c r="CA52" s="1" t="s">
        <v>1</v>
      </c>
      <c r="CB52" s="7">
        <v>0</v>
      </c>
      <c r="CC52" s="11" t="str">
        <f>IF(ISBLANK($I52)=TRUE,"",IF(SIGN(BZ52-CB52)=SIGN($G52-$I52),1,0)+IF(BZ52=$G52,IF(CB52=$I52,2,0),0))</f>
        <v/>
      </c>
      <c r="CD52" s="3">
        <v>3</v>
      </c>
      <c r="CE52" s="1" t="s">
        <v>1</v>
      </c>
      <c r="CF52" s="7">
        <v>0</v>
      </c>
      <c r="CG52" s="11" t="str">
        <f>IF(ISBLANK($I52)=TRUE,"",IF(SIGN(CD52-CF52)=SIGN($G52-$I52),1,0)+IF(CD52=$G52,IF(CF52=$I52,2,0),0))</f>
        <v/>
      </c>
      <c r="CH52" s="3">
        <v>5</v>
      </c>
      <c r="CI52" s="1" t="s">
        <v>1</v>
      </c>
      <c r="CJ52" s="7">
        <v>0</v>
      </c>
      <c r="CK52" s="11" t="str">
        <f>IF(ISBLANK($I52)=TRUE,"",IF(SIGN(CH52-CJ52)=SIGN($G52-$I52),1,0)+IF(CH52=$G52,IF(CJ52=$I52,2,0),0))</f>
        <v/>
      </c>
      <c r="CL52" s="3">
        <v>3</v>
      </c>
      <c r="CM52" s="1" t="s">
        <v>1</v>
      </c>
      <c r="CN52" s="7">
        <v>0</v>
      </c>
      <c r="CO52" s="11" t="str">
        <f>IF(ISBLANK($I52)=TRUE,"",IF(SIGN(CL52-CN52)=SIGN($G52-$I52),1,0)+IF(CL52=$G52,IF(CN52=$I52,2,0),0))</f>
        <v/>
      </c>
      <c r="CP52" s="3">
        <v>5</v>
      </c>
      <c r="CQ52" s="1" t="s">
        <v>1</v>
      </c>
      <c r="CR52" s="7">
        <v>0</v>
      </c>
      <c r="CS52" s="11" t="str">
        <f>IF(ISBLANK($I52)=TRUE,"",IF(SIGN(CP52-CR52)=SIGN($G52-$I52),1,0)+IF(CP52=$G52,IF(CR52=$I52,2,0),0))</f>
        <v/>
      </c>
      <c r="CT52" s="3">
        <v>4</v>
      </c>
      <c r="CU52" s="1" t="s">
        <v>1</v>
      </c>
      <c r="CV52" s="7">
        <v>0</v>
      </c>
      <c r="CW52" s="11" t="str">
        <f>IF(ISBLANK($I52)=TRUE,"",IF(SIGN(CT52-CV52)=SIGN($G52-$I52),1,0)+IF(CT52=$G52,IF(CV52=$I52,2,0),0))</f>
        <v/>
      </c>
      <c r="CX52" s="3">
        <v>3</v>
      </c>
      <c r="CY52" s="1" t="s">
        <v>1</v>
      </c>
      <c r="CZ52" s="7">
        <v>0</v>
      </c>
      <c r="DA52" s="11" t="str">
        <f>IF(ISBLANK($I52)=TRUE,"",IF(SIGN(CX52-CZ52)=SIGN($G52-$I52),1,0)+IF(CX52=$G52,IF(CZ52=$I52,2,0),0))</f>
        <v/>
      </c>
      <c r="DB52" s="3">
        <v>4</v>
      </c>
      <c r="DC52" s="1" t="s">
        <v>1</v>
      </c>
      <c r="DD52" s="7">
        <v>0</v>
      </c>
      <c r="DE52" s="11" t="str">
        <f>IF(ISBLANK($I52)=TRUE,"",IF(SIGN(DB52-DD52)=SIGN($G52-$I52),1,0)+IF(DB52=$G52,IF(DD52=$I52,2,0),0))</f>
        <v/>
      </c>
      <c r="DF52" s="3">
        <v>2</v>
      </c>
      <c r="DG52" s="1" t="s">
        <v>1</v>
      </c>
      <c r="DH52" s="7">
        <v>1</v>
      </c>
      <c r="DI52" s="11" t="str">
        <f>IF(ISBLANK($I52)=TRUE,"",IF(SIGN(DF52-DH52)=SIGN($G52-$I52),1,0)+IF(DF52=$G52,IF(DH52=$I52,2,0),0))</f>
        <v/>
      </c>
    </row>
    <row r="53" spans="2:113" x14ac:dyDescent="0.3">
      <c r="B53" s="12">
        <v>46189</v>
      </c>
      <c r="C53" s="7" t="s">
        <v>67</v>
      </c>
      <c r="D53" s="3" t="s">
        <v>41</v>
      </c>
      <c r="E53" s="1" t="s">
        <v>1</v>
      </c>
      <c r="F53" s="5" t="s">
        <v>42</v>
      </c>
      <c r="G53" s="3"/>
      <c r="H53" s="1" t="s">
        <v>1</v>
      </c>
      <c r="I53" s="5"/>
      <c r="J53" s="3">
        <v>0</v>
      </c>
      <c r="K53" s="1" t="s">
        <v>1</v>
      </c>
      <c r="L53" s="7">
        <v>1</v>
      </c>
      <c r="M53" s="9" t="str">
        <f t="shared" ref="M53:M57" si="182">IF(ISBLANK($G53)=TRUE,"",IF(SIGN(J53-L53)=SIGN($G53-$I53),1,0)+IF(J53=$G53,IF(L53=$I53,2,0),0))</f>
        <v/>
      </c>
      <c r="N53" s="3">
        <v>0</v>
      </c>
      <c r="O53" s="1" t="s">
        <v>1</v>
      </c>
      <c r="P53" s="7">
        <v>2</v>
      </c>
      <c r="Q53" s="9" t="str">
        <f t="shared" ref="Q53:Q57" si="183">IF(ISBLANK($G53)=TRUE,"",IF(SIGN(N53-P53)=SIGN($G53-$I53),1,0)+IF(N53=$G53,IF(P53=$I53,2,0),0))</f>
        <v/>
      </c>
      <c r="R53" s="3">
        <v>0</v>
      </c>
      <c r="S53" s="1" t="s">
        <v>1</v>
      </c>
      <c r="T53" s="7">
        <v>2</v>
      </c>
      <c r="U53" s="9" t="str">
        <f t="shared" ref="U53:U57" si="184">IF(ISBLANK($G53)=TRUE,"",IF(SIGN(R53-T53)=SIGN($G53-$I53),1,0)+IF(R53=$G53,IF(T53=$I53,2,0),0))</f>
        <v/>
      </c>
      <c r="V53" s="3">
        <v>0</v>
      </c>
      <c r="W53" s="1" t="s">
        <v>1</v>
      </c>
      <c r="X53" s="7">
        <v>3</v>
      </c>
      <c r="Y53" s="9" t="str">
        <f t="shared" ref="Y53:Y57" si="185">IF(ISBLANK($G53)=TRUE,"",IF(SIGN(V53-X53)=SIGN($G53-$I53),1,0)+IF(V53=$G53,IF(X53=$I53,2,0),0))</f>
        <v/>
      </c>
      <c r="Z53" s="3">
        <v>0</v>
      </c>
      <c r="AA53" s="1" t="s">
        <v>1</v>
      </c>
      <c r="AB53" s="7">
        <v>2</v>
      </c>
      <c r="AC53" s="9" t="str">
        <f t="shared" ref="AC53:AC57" si="186">IF(ISBLANK($G53)=TRUE,"",IF(SIGN(Z53-AB53)=SIGN($G53-$I53),1,0)+IF(Z53=$G53,IF(AB53=$I53,2,0),0))</f>
        <v/>
      </c>
      <c r="AD53" s="3">
        <v>0</v>
      </c>
      <c r="AE53" s="1" t="s">
        <v>1</v>
      </c>
      <c r="AF53" s="7">
        <v>3</v>
      </c>
      <c r="AG53" s="9" t="str">
        <f t="shared" ref="AG53:AG57" si="187">IF(ISBLANK($G53)=TRUE,"",IF(SIGN(AD53-AF53)=SIGN($G53-$I53),1,0)+IF(AD53=$G53,IF(AF53=$I53,2,0),0))</f>
        <v/>
      </c>
      <c r="AH53" s="3">
        <v>0</v>
      </c>
      <c r="AI53" s="1" t="s">
        <v>1</v>
      </c>
      <c r="AJ53" s="7">
        <v>2</v>
      </c>
      <c r="AK53" s="9" t="str">
        <f t="shared" ref="AK53:AK57" si="188">IF(ISBLANK($G53)=TRUE,"",IF(SIGN(AH53-AJ53)=SIGN($G53-$I53),1,0)+IF(AH53=$G53,IF(AJ53=$I53,2,0),0))</f>
        <v/>
      </c>
      <c r="AL53" s="3">
        <v>0</v>
      </c>
      <c r="AM53" s="1" t="s">
        <v>1</v>
      </c>
      <c r="AN53" s="7">
        <v>1</v>
      </c>
      <c r="AO53" s="9" t="str">
        <f t="shared" ref="AO53:AO57" si="189">IF(ISBLANK($G53)=TRUE,"",IF(SIGN(AL53-AN53)=SIGN($G53-$I53),1,0)+IF(AL53=$G53,IF(AN53=$I53,2,0),0))</f>
        <v/>
      </c>
      <c r="AP53" s="3">
        <v>1</v>
      </c>
      <c r="AQ53" s="1" t="s">
        <v>1</v>
      </c>
      <c r="AR53" s="7">
        <v>3</v>
      </c>
      <c r="AS53" s="9" t="str">
        <f t="shared" ref="AS53:AS57" si="190">IF(ISBLANK($G53)=TRUE,"",IF(SIGN(AP53-AR53)=SIGN($G53-$I53),1,0)+IF(AP53=$G53,IF(AR53=$I53,2,0),0))</f>
        <v/>
      </c>
      <c r="AT53" s="3">
        <v>1</v>
      </c>
      <c r="AU53" s="1" t="s">
        <v>1</v>
      </c>
      <c r="AV53" s="7">
        <v>2</v>
      </c>
      <c r="AW53" s="9" t="str">
        <f t="shared" ref="AW53:AW57" si="191">IF(ISBLANK($G53)=TRUE,"",IF(SIGN(AT53-AV53)=SIGN($G53-$I53),1,0)+IF(AT53=$G53,IF(AV53=$I53,2,0),0))</f>
        <v/>
      </c>
      <c r="AX53" s="3">
        <v>1</v>
      </c>
      <c r="AY53" s="1" t="s">
        <v>1</v>
      </c>
      <c r="AZ53" s="7">
        <v>0</v>
      </c>
      <c r="BA53" s="9" t="str">
        <f t="shared" ref="BA53:BA57" si="192">IF(ISBLANK($G53)=TRUE,"",IF(SIGN(AX53-AZ53)=SIGN($G53-$I53),1,0)+IF(AX53=$G53,IF(AZ53=$I53,2,0),0))</f>
        <v/>
      </c>
      <c r="BB53" s="3">
        <v>1</v>
      </c>
      <c r="BC53" s="1" t="s">
        <v>1</v>
      </c>
      <c r="BD53" s="7">
        <v>2</v>
      </c>
      <c r="BE53" s="9" t="str">
        <f t="shared" ref="BE53:BE57" si="193">IF(ISBLANK($G53)=TRUE,"",IF(SIGN(BB53-BD53)=SIGN($G53-$I53),1,0)+IF(BB53=$G53,IF(BD53=$I53,2,0),0))</f>
        <v/>
      </c>
      <c r="BF53" s="3">
        <v>0</v>
      </c>
      <c r="BG53" s="1" t="s">
        <v>1</v>
      </c>
      <c r="BH53" s="7">
        <v>3</v>
      </c>
      <c r="BI53" s="9" t="str">
        <f t="shared" ref="BI53:BI57" si="194">IF(ISBLANK($G53)=TRUE,"",IF(SIGN(BF53-BH53)=SIGN($G53-$I53),1,0)+IF(BF53=$G53,IF(BH53=$I53,2,0),0))</f>
        <v/>
      </c>
      <c r="BJ53" s="3">
        <v>1</v>
      </c>
      <c r="BK53" s="1" t="s">
        <v>1</v>
      </c>
      <c r="BL53" s="7">
        <v>2</v>
      </c>
      <c r="BM53" s="9" t="str">
        <f t="shared" ref="BM53:BM57" si="195">IF(ISBLANK($G53)=TRUE,"",IF(SIGN(BJ53-BL53)=SIGN($G53-$I53),1,0)+IF(BJ53=$G53,IF(BL53=$I53,2,0),0))</f>
        <v/>
      </c>
      <c r="BN53" s="3">
        <v>0</v>
      </c>
      <c r="BO53" s="1" t="s">
        <v>1</v>
      </c>
      <c r="BP53" s="7">
        <v>2</v>
      </c>
      <c r="BQ53" s="9" t="str">
        <f t="shared" ref="BQ53:BQ57" si="196">IF(ISBLANK($G53)=TRUE,"",IF(SIGN(BN53-BP53)=SIGN($G53-$I53),1,0)+IF(BN53=$G53,IF(BP53=$I53,2,0),0))</f>
        <v/>
      </c>
      <c r="BR53" s="3">
        <v>1</v>
      </c>
      <c r="BS53" s="1" t="s">
        <v>1</v>
      </c>
      <c r="BT53" s="7">
        <v>2</v>
      </c>
      <c r="BU53" s="9" t="str">
        <f t="shared" ref="BU53:BU57" si="197">IF(ISBLANK($G53)=TRUE,"",IF(SIGN(BR53-BT53)=SIGN($G53-$I53),1,0)+IF(BR53=$G53,IF(BT53=$I53,2,0),0))</f>
        <v/>
      </c>
      <c r="BV53" s="3">
        <v>0</v>
      </c>
      <c r="BW53" s="1" t="s">
        <v>1</v>
      </c>
      <c r="BX53" s="7">
        <v>2</v>
      </c>
      <c r="BY53" s="9" t="str">
        <f t="shared" ref="BY53:BY57" si="198">IF(ISBLANK($G53)=TRUE,"",IF(SIGN(BV53-BX53)=SIGN($G53-$I53),1,0)+IF(BV53=$G53,IF(BX53=$I53,2,0),0))</f>
        <v/>
      </c>
      <c r="BZ53" s="3">
        <v>1</v>
      </c>
      <c r="CA53" s="1" t="s">
        <v>1</v>
      </c>
      <c r="CB53" s="7">
        <v>3</v>
      </c>
      <c r="CC53" s="9" t="str">
        <f t="shared" ref="CC53:CC57" si="199">IF(ISBLANK($G53)=TRUE,"",IF(SIGN(BZ53-CB53)=SIGN($G53-$I53),1,0)+IF(BZ53=$G53,IF(CB53=$I53,2,0),0))</f>
        <v/>
      </c>
      <c r="CD53" s="3">
        <v>0</v>
      </c>
      <c r="CE53" s="1" t="s">
        <v>1</v>
      </c>
      <c r="CF53" s="7">
        <v>2</v>
      </c>
      <c r="CG53" s="9" t="str">
        <f t="shared" ref="CG53:CG57" si="200">IF(ISBLANK($G53)=TRUE,"",IF(SIGN(CD53-CF53)=SIGN($G53-$I53),1,0)+IF(CD53=$G53,IF(CF53=$I53,2,0),0))</f>
        <v/>
      </c>
      <c r="CH53" s="3">
        <v>1</v>
      </c>
      <c r="CI53" s="1" t="s">
        <v>1</v>
      </c>
      <c r="CJ53" s="7">
        <v>3</v>
      </c>
      <c r="CK53" s="9" t="str">
        <f t="shared" ref="CK53:CK57" si="201">IF(ISBLANK($G53)=TRUE,"",IF(SIGN(CH53-CJ53)=SIGN($G53-$I53),1,0)+IF(CH53=$G53,IF(CJ53=$I53,2,0),0))</f>
        <v/>
      </c>
      <c r="CL53" s="3">
        <v>1</v>
      </c>
      <c r="CM53" s="1" t="s">
        <v>1</v>
      </c>
      <c r="CN53" s="7">
        <v>1</v>
      </c>
      <c r="CO53" s="9" t="str">
        <f t="shared" ref="CO53:CO57" si="202">IF(ISBLANK($G53)=TRUE,"",IF(SIGN(CL53-CN53)=SIGN($G53-$I53),1,0)+IF(CL53=$G53,IF(CN53=$I53,2,0),0))</f>
        <v/>
      </c>
      <c r="CP53" s="3">
        <v>1</v>
      </c>
      <c r="CQ53" s="1" t="s">
        <v>1</v>
      </c>
      <c r="CR53" s="7">
        <v>3</v>
      </c>
      <c r="CS53" s="9" t="str">
        <f t="shared" ref="CS53:CS57" si="203">IF(ISBLANK($G53)=TRUE,"",IF(SIGN(CP53-CR53)=SIGN($G53-$I53),1,0)+IF(CP53=$G53,IF(CR53=$I53,2,0),0))</f>
        <v/>
      </c>
      <c r="CT53" s="3">
        <v>0</v>
      </c>
      <c r="CU53" s="1" t="s">
        <v>1</v>
      </c>
      <c r="CV53" s="7">
        <v>2</v>
      </c>
      <c r="CW53" s="9" t="str">
        <f t="shared" ref="CW53:CW57" si="204">IF(ISBLANK($G53)=TRUE,"",IF(SIGN(CT53-CV53)=SIGN($G53-$I53),1,0)+IF(CT53=$G53,IF(CV53=$I53,2,0),0))</f>
        <v/>
      </c>
      <c r="CX53" s="3">
        <v>1</v>
      </c>
      <c r="CY53" s="1" t="s">
        <v>1</v>
      </c>
      <c r="CZ53" s="7">
        <v>2</v>
      </c>
      <c r="DA53" s="9" t="str">
        <f t="shared" ref="DA53:DA57" si="205">IF(ISBLANK($G53)=TRUE,"",IF(SIGN(CX53-CZ53)=SIGN($G53-$I53),1,0)+IF(CX53=$G53,IF(CZ53=$I53,2,0),0))</f>
        <v/>
      </c>
      <c r="DB53" s="3">
        <v>1</v>
      </c>
      <c r="DC53" s="1" t="s">
        <v>1</v>
      </c>
      <c r="DD53" s="7">
        <v>3</v>
      </c>
      <c r="DE53" s="9" t="str">
        <f t="shared" ref="DE53:DE57" si="206">IF(ISBLANK($G53)=TRUE,"",IF(SIGN(DB53-DD53)=SIGN($G53-$I53),1,0)+IF(DB53=$G53,IF(DD53=$I53,2,0),0))</f>
        <v/>
      </c>
      <c r="DF53" s="3">
        <v>2</v>
      </c>
      <c r="DG53" s="1" t="s">
        <v>1</v>
      </c>
      <c r="DH53" s="7">
        <v>0</v>
      </c>
      <c r="DI53" s="9" t="str">
        <f t="shared" ref="DI53:DI57" si="207">IF(ISBLANK($G53)=TRUE,"",IF(SIGN(DF53-DH53)=SIGN($G53-$I53),1,0)+IF(DF53=$G53,IF(DH53=$I53,2,0),0))</f>
        <v/>
      </c>
    </row>
    <row r="54" spans="2:113" x14ac:dyDescent="0.3">
      <c r="B54" s="12">
        <v>46194</v>
      </c>
      <c r="C54" s="7" t="s">
        <v>65</v>
      </c>
      <c r="D54" s="3" t="s">
        <v>39</v>
      </c>
      <c r="E54" s="1" t="s">
        <v>1</v>
      </c>
      <c r="F54" s="5" t="s">
        <v>41</v>
      </c>
      <c r="G54" s="3"/>
      <c r="H54" s="1" t="s">
        <v>1</v>
      </c>
      <c r="I54" s="5"/>
      <c r="J54" s="3">
        <v>3</v>
      </c>
      <c r="K54" s="1" t="s">
        <v>1</v>
      </c>
      <c r="L54" s="7">
        <v>1</v>
      </c>
      <c r="M54" s="9" t="str">
        <f t="shared" si="182"/>
        <v/>
      </c>
      <c r="N54" s="3">
        <v>2</v>
      </c>
      <c r="O54" s="1" t="s">
        <v>1</v>
      </c>
      <c r="P54" s="7">
        <v>0</v>
      </c>
      <c r="Q54" s="9" t="str">
        <f t="shared" si="183"/>
        <v/>
      </c>
      <c r="R54" s="3">
        <v>3</v>
      </c>
      <c r="S54" s="1" t="s">
        <v>1</v>
      </c>
      <c r="T54" s="7">
        <v>0</v>
      </c>
      <c r="U54" s="9" t="str">
        <f t="shared" si="184"/>
        <v/>
      </c>
      <c r="V54" s="3">
        <v>3</v>
      </c>
      <c r="W54" s="1" t="s">
        <v>1</v>
      </c>
      <c r="X54" s="7">
        <v>0</v>
      </c>
      <c r="Y54" s="9" t="str">
        <f t="shared" si="185"/>
        <v/>
      </c>
      <c r="Z54" s="3">
        <v>3</v>
      </c>
      <c r="AA54" s="1" t="s">
        <v>1</v>
      </c>
      <c r="AB54" s="7">
        <v>0</v>
      </c>
      <c r="AC54" s="9" t="str">
        <f t="shared" si="186"/>
        <v/>
      </c>
      <c r="AD54" s="3">
        <v>3</v>
      </c>
      <c r="AE54" s="1" t="s">
        <v>1</v>
      </c>
      <c r="AF54" s="7">
        <v>1</v>
      </c>
      <c r="AG54" s="9" t="str">
        <f t="shared" si="187"/>
        <v/>
      </c>
      <c r="AH54" s="3">
        <v>2</v>
      </c>
      <c r="AI54" s="1" t="s">
        <v>1</v>
      </c>
      <c r="AJ54" s="7">
        <v>0</v>
      </c>
      <c r="AK54" s="9" t="str">
        <f t="shared" si="188"/>
        <v/>
      </c>
      <c r="AL54" s="3">
        <v>2</v>
      </c>
      <c r="AM54" s="1" t="s">
        <v>1</v>
      </c>
      <c r="AN54" s="7">
        <v>0</v>
      </c>
      <c r="AO54" s="9" t="str">
        <f t="shared" si="189"/>
        <v/>
      </c>
      <c r="AP54" s="3">
        <v>2</v>
      </c>
      <c r="AQ54" s="1" t="s">
        <v>1</v>
      </c>
      <c r="AR54" s="7">
        <v>1</v>
      </c>
      <c r="AS54" s="9" t="str">
        <f t="shared" si="190"/>
        <v/>
      </c>
      <c r="AT54" s="3">
        <v>1</v>
      </c>
      <c r="AU54" s="1" t="s">
        <v>1</v>
      </c>
      <c r="AV54" s="7">
        <v>0</v>
      </c>
      <c r="AW54" s="9" t="str">
        <f t="shared" si="191"/>
        <v/>
      </c>
      <c r="AX54" s="3">
        <v>2</v>
      </c>
      <c r="AY54" s="1" t="s">
        <v>1</v>
      </c>
      <c r="AZ54" s="7">
        <v>0</v>
      </c>
      <c r="BA54" s="9" t="str">
        <f t="shared" si="192"/>
        <v/>
      </c>
      <c r="BB54" s="3">
        <v>3</v>
      </c>
      <c r="BC54" s="1" t="s">
        <v>1</v>
      </c>
      <c r="BD54" s="7">
        <v>1</v>
      </c>
      <c r="BE54" s="9" t="str">
        <f t="shared" si="193"/>
        <v/>
      </c>
      <c r="BF54" s="3">
        <v>3</v>
      </c>
      <c r="BG54" s="1" t="s">
        <v>1</v>
      </c>
      <c r="BH54" s="7">
        <v>0</v>
      </c>
      <c r="BI54" s="9" t="str">
        <f t="shared" si="194"/>
        <v/>
      </c>
      <c r="BJ54" s="3">
        <v>2</v>
      </c>
      <c r="BK54" s="1" t="s">
        <v>1</v>
      </c>
      <c r="BL54" s="7">
        <v>0</v>
      </c>
      <c r="BM54" s="9" t="str">
        <f t="shared" si="195"/>
        <v/>
      </c>
      <c r="BN54" s="3">
        <v>3</v>
      </c>
      <c r="BO54" s="1" t="s">
        <v>1</v>
      </c>
      <c r="BP54" s="7">
        <v>0</v>
      </c>
      <c r="BQ54" s="9" t="str">
        <f t="shared" si="196"/>
        <v/>
      </c>
      <c r="BR54" s="3">
        <v>2</v>
      </c>
      <c r="BS54" s="1" t="s">
        <v>1</v>
      </c>
      <c r="BT54" s="7">
        <v>0</v>
      </c>
      <c r="BU54" s="9" t="str">
        <f t="shared" si="197"/>
        <v/>
      </c>
      <c r="BV54" s="3">
        <v>3</v>
      </c>
      <c r="BW54" s="1" t="s">
        <v>1</v>
      </c>
      <c r="BX54" s="7">
        <v>1</v>
      </c>
      <c r="BY54" s="9" t="str">
        <f t="shared" si="198"/>
        <v/>
      </c>
      <c r="BZ54" s="3">
        <v>3</v>
      </c>
      <c r="CA54" s="1" t="s">
        <v>1</v>
      </c>
      <c r="CB54" s="7">
        <v>0</v>
      </c>
      <c r="CC54" s="9" t="str">
        <f t="shared" si="199"/>
        <v/>
      </c>
      <c r="CD54" s="3">
        <v>2</v>
      </c>
      <c r="CE54" s="1" t="s">
        <v>1</v>
      </c>
      <c r="CF54" s="7">
        <v>0</v>
      </c>
      <c r="CG54" s="9" t="str">
        <f t="shared" si="200"/>
        <v/>
      </c>
      <c r="CH54" s="3">
        <v>4</v>
      </c>
      <c r="CI54" s="1" t="s">
        <v>1</v>
      </c>
      <c r="CJ54" s="7">
        <v>1</v>
      </c>
      <c r="CK54" s="9" t="str">
        <f t="shared" si="201"/>
        <v/>
      </c>
      <c r="CL54" s="3">
        <v>2</v>
      </c>
      <c r="CM54" s="1" t="s">
        <v>1</v>
      </c>
      <c r="CN54" s="7">
        <v>0</v>
      </c>
      <c r="CO54" s="9" t="str">
        <f t="shared" si="202"/>
        <v/>
      </c>
      <c r="CP54" s="3">
        <v>3</v>
      </c>
      <c r="CQ54" s="1" t="s">
        <v>1</v>
      </c>
      <c r="CR54" s="7">
        <v>0</v>
      </c>
      <c r="CS54" s="9" t="str">
        <f t="shared" si="203"/>
        <v/>
      </c>
      <c r="CT54" s="3">
        <v>3</v>
      </c>
      <c r="CU54" s="1" t="s">
        <v>1</v>
      </c>
      <c r="CV54" s="7">
        <v>0</v>
      </c>
      <c r="CW54" s="9" t="str">
        <f t="shared" si="204"/>
        <v/>
      </c>
      <c r="CX54" s="3">
        <v>3</v>
      </c>
      <c r="CY54" s="1" t="s">
        <v>1</v>
      </c>
      <c r="CZ54" s="7">
        <v>0</v>
      </c>
      <c r="DA54" s="9" t="str">
        <f t="shared" si="205"/>
        <v/>
      </c>
      <c r="DB54" s="3">
        <v>5</v>
      </c>
      <c r="DC54" s="1" t="s">
        <v>1</v>
      </c>
      <c r="DD54" s="7">
        <v>0</v>
      </c>
      <c r="DE54" s="9" t="str">
        <f t="shared" si="206"/>
        <v/>
      </c>
      <c r="DF54" s="3">
        <v>2</v>
      </c>
      <c r="DG54" s="1" t="s">
        <v>1</v>
      </c>
      <c r="DH54" s="7">
        <v>2</v>
      </c>
      <c r="DI54" s="9" t="str">
        <f t="shared" si="207"/>
        <v/>
      </c>
    </row>
    <row r="55" spans="2:113" x14ac:dyDescent="0.3">
      <c r="B55" s="12">
        <v>46195</v>
      </c>
      <c r="C55" s="7" t="s">
        <v>67</v>
      </c>
      <c r="D55" s="3" t="s">
        <v>42</v>
      </c>
      <c r="E55" s="1" t="s">
        <v>1</v>
      </c>
      <c r="F55" s="5" t="s">
        <v>40</v>
      </c>
      <c r="G55" s="3"/>
      <c r="H55" s="1" t="s">
        <v>1</v>
      </c>
      <c r="I55" s="5"/>
      <c r="J55" s="3">
        <v>2</v>
      </c>
      <c r="K55" s="1" t="s">
        <v>1</v>
      </c>
      <c r="L55" s="7">
        <v>1</v>
      </c>
      <c r="M55" s="9" t="str">
        <f t="shared" si="182"/>
        <v/>
      </c>
      <c r="N55" s="3">
        <v>2</v>
      </c>
      <c r="O55" s="1" t="s">
        <v>1</v>
      </c>
      <c r="P55" s="7">
        <v>0</v>
      </c>
      <c r="Q55" s="9" t="str">
        <f t="shared" si="183"/>
        <v/>
      </c>
      <c r="R55" s="3">
        <v>1</v>
      </c>
      <c r="S55" s="1" t="s">
        <v>1</v>
      </c>
      <c r="T55" s="7">
        <v>1</v>
      </c>
      <c r="U55" s="9" t="str">
        <f t="shared" si="184"/>
        <v/>
      </c>
      <c r="V55" s="3">
        <v>3</v>
      </c>
      <c r="W55" s="1" t="s">
        <v>1</v>
      </c>
      <c r="X55" s="7">
        <v>0</v>
      </c>
      <c r="Y55" s="9" t="str">
        <f t="shared" si="185"/>
        <v/>
      </c>
      <c r="Z55" s="3">
        <v>3</v>
      </c>
      <c r="AA55" s="1" t="s">
        <v>1</v>
      </c>
      <c r="AB55" s="7">
        <v>0</v>
      </c>
      <c r="AC55" s="9" t="str">
        <f t="shared" si="186"/>
        <v/>
      </c>
      <c r="AD55" s="3">
        <v>2</v>
      </c>
      <c r="AE55" s="1" t="s">
        <v>1</v>
      </c>
      <c r="AF55" s="7">
        <v>0</v>
      </c>
      <c r="AG55" s="9" t="str">
        <f t="shared" si="187"/>
        <v/>
      </c>
      <c r="AH55" s="3">
        <v>2</v>
      </c>
      <c r="AI55" s="1" t="s">
        <v>1</v>
      </c>
      <c r="AJ55" s="7">
        <v>0</v>
      </c>
      <c r="AK55" s="9" t="str">
        <f t="shared" si="188"/>
        <v/>
      </c>
      <c r="AL55" s="3">
        <v>1</v>
      </c>
      <c r="AM55" s="1" t="s">
        <v>1</v>
      </c>
      <c r="AN55" s="7">
        <v>0</v>
      </c>
      <c r="AO55" s="9" t="str">
        <f t="shared" si="189"/>
        <v/>
      </c>
      <c r="AP55" s="3">
        <v>1</v>
      </c>
      <c r="AQ55" s="1" t="s">
        <v>1</v>
      </c>
      <c r="AR55" s="7">
        <v>1</v>
      </c>
      <c r="AS55" s="9" t="str">
        <f t="shared" si="190"/>
        <v/>
      </c>
      <c r="AT55" s="3">
        <v>2</v>
      </c>
      <c r="AU55" s="1" t="s">
        <v>1</v>
      </c>
      <c r="AV55" s="7">
        <v>0</v>
      </c>
      <c r="AW55" s="9" t="str">
        <f t="shared" si="191"/>
        <v/>
      </c>
      <c r="AX55" s="3">
        <v>2</v>
      </c>
      <c r="AY55" s="1" t="s">
        <v>1</v>
      </c>
      <c r="AZ55" s="7">
        <v>1</v>
      </c>
      <c r="BA55" s="9" t="str">
        <f t="shared" si="192"/>
        <v/>
      </c>
      <c r="BB55" s="3">
        <v>3</v>
      </c>
      <c r="BC55" s="1" t="s">
        <v>1</v>
      </c>
      <c r="BD55" s="7">
        <v>0</v>
      </c>
      <c r="BE55" s="9" t="str">
        <f t="shared" si="193"/>
        <v/>
      </c>
      <c r="BF55" s="3">
        <v>3</v>
      </c>
      <c r="BG55" s="1" t="s">
        <v>1</v>
      </c>
      <c r="BH55" s="7">
        <v>0</v>
      </c>
      <c r="BI55" s="9" t="str">
        <f t="shared" si="194"/>
        <v/>
      </c>
      <c r="BJ55" s="3">
        <v>2</v>
      </c>
      <c r="BK55" s="1" t="s">
        <v>1</v>
      </c>
      <c r="BL55" s="7">
        <v>0</v>
      </c>
      <c r="BM55" s="9" t="str">
        <f t="shared" si="195"/>
        <v/>
      </c>
      <c r="BN55" s="3">
        <v>3</v>
      </c>
      <c r="BO55" s="1" t="s">
        <v>1</v>
      </c>
      <c r="BP55" s="7">
        <v>0</v>
      </c>
      <c r="BQ55" s="9" t="str">
        <f t="shared" si="196"/>
        <v/>
      </c>
      <c r="BR55" s="3">
        <v>2</v>
      </c>
      <c r="BS55" s="1" t="s">
        <v>1</v>
      </c>
      <c r="BT55" s="7">
        <v>1</v>
      </c>
      <c r="BU55" s="9" t="str">
        <f t="shared" si="197"/>
        <v/>
      </c>
      <c r="BV55" s="3">
        <v>3</v>
      </c>
      <c r="BW55" s="1" t="s">
        <v>1</v>
      </c>
      <c r="BX55" s="7">
        <v>0</v>
      </c>
      <c r="BY55" s="9" t="str">
        <f t="shared" si="198"/>
        <v/>
      </c>
      <c r="BZ55" s="3">
        <v>3</v>
      </c>
      <c r="CA55" s="1" t="s">
        <v>1</v>
      </c>
      <c r="CB55" s="7">
        <v>1</v>
      </c>
      <c r="CC55" s="9" t="str">
        <f t="shared" si="199"/>
        <v/>
      </c>
      <c r="CD55" s="3">
        <v>2</v>
      </c>
      <c r="CE55" s="1" t="s">
        <v>1</v>
      </c>
      <c r="CF55" s="7">
        <v>0</v>
      </c>
      <c r="CG55" s="9" t="str">
        <f t="shared" si="200"/>
        <v/>
      </c>
      <c r="CH55" s="3">
        <v>3</v>
      </c>
      <c r="CI55" s="1" t="s">
        <v>1</v>
      </c>
      <c r="CJ55" s="7">
        <v>1</v>
      </c>
      <c r="CK55" s="9" t="str">
        <f t="shared" si="201"/>
        <v/>
      </c>
      <c r="CL55" s="3">
        <v>0</v>
      </c>
      <c r="CM55" s="1" t="s">
        <v>1</v>
      </c>
      <c r="CN55" s="7">
        <v>2</v>
      </c>
      <c r="CO55" s="9" t="str">
        <f t="shared" si="202"/>
        <v/>
      </c>
      <c r="CP55" s="3">
        <v>3</v>
      </c>
      <c r="CQ55" s="1" t="s">
        <v>1</v>
      </c>
      <c r="CR55" s="7">
        <v>0</v>
      </c>
      <c r="CS55" s="9" t="str">
        <f t="shared" si="203"/>
        <v/>
      </c>
      <c r="CT55" s="3">
        <v>3</v>
      </c>
      <c r="CU55" s="1" t="s">
        <v>1</v>
      </c>
      <c r="CV55" s="7">
        <v>1</v>
      </c>
      <c r="CW55" s="9" t="str">
        <f t="shared" si="204"/>
        <v/>
      </c>
      <c r="CX55" s="3">
        <v>2</v>
      </c>
      <c r="CY55" s="1" t="s">
        <v>1</v>
      </c>
      <c r="CZ55" s="7">
        <v>0</v>
      </c>
      <c r="DA55" s="9" t="str">
        <f t="shared" si="205"/>
        <v/>
      </c>
      <c r="DB55" s="3">
        <v>2</v>
      </c>
      <c r="DC55" s="1" t="s">
        <v>1</v>
      </c>
      <c r="DD55" s="7">
        <v>0</v>
      </c>
      <c r="DE55" s="9" t="str">
        <f t="shared" si="206"/>
        <v/>
      </c>
      <c r="DF55" s="3">
        <v>1</v>
      </c>
      <c r="DG55" s="1" t="s">
        <v>1</v>
      </c>
      <c r="DH55" s="7">
        <v>2</v>
      </c>
      <c r="DI55" s="9" t="str">
        <f t="shared" si="207"/>
        <v/>
      </c>
    </row>
    <row r="56" spans="2:113" x14ac:dyDescent="0.3">
      <c r="B56" s="12">
        <v>46200</v>
      </c>
      <c r="C56" s="7" t="s">
        <v>74</v>
      </c>
      <c r="D56" s="3" t="s">
        <v>40</v>
      </c>
      <c r="E56" s="1" t="s">
        <v>1</v>
      </c>
      <c r="F56" s="5" t="s">
        <v>41</v>
      </c>
      <c r="G56" s="3"/>
      <c r="H56" s="1" t="s">
        <v>1</v>
      </c>
      <c r="I56" s="5"/>
      <c r="J56" s="3">
        <v>1</v>
      </c>
      <c r="K56" s="1" t="s">
        <v>1</v>
      </c>
      <c r="L56" s="7">
        <v>1</v>
      </c>
      <c r="M56" s="9" t="str">
        <f t="shared" si="182"/>
        <v/>
      </c>
      <c r="N56" s="3">
        <v>0</v>
      </c>
      <c r="O56" s="1" t="s">
        <v>1</v>
      </c>
      <c r="P56" s="7">
        <v>1</v>
      </c>
      <c r="Q56" s="9" t="str">
        <f t="shared" si="183"/>
        <v/>
      </c>
      <c r="R56" s="3">
        <v>2</v>
      </c>
      <c r="S56" s="1" t="s">
        <v>1</v>
      </c>
      <c r="T56" s="7">
        <v>1</v>
      </c>
      <c r="U56" s="9" t="str">
        <f t="shared" si="184"/>
        <v/>
      </c>
      <c r="V56" s="3">
        <v>0</v>
      </c>
      <c r="W56" s="1" t="s">
        <v>1</v>
      </c>
      <c r="X56" s="7">
        <v>0</v>
      </c>
      <c r="Y56" s="9" t="str">
        <f t="shared" si="185"/>
        <v/>
      </c>
      <c r="Z56" s="3">
        <v>1</v>
      </c>
      <c r="AA56" s="1" t="s">
        <v>1</v>
      </c>
      <c r="AB56" s="7">
        <v>1</v>
      </c>
      <c r="AC56" s="9" t="str">
        <f t="shared" si="186"/>
        <v/>
      </c>
      <c r="AD56" s="3">
        <v>2</v>
      </c>
      <c r="AE56" s="1" t="s">
        <v>1</v>
      </c>
      <c r="AF56" s="7">
        <v>1</v>
      </c>
      <c r="AG56" s="9" t="str">
        <f t="shared" si="187"/>
        <v/>
      </c>
      <c r="AH56" s="3">
        <v>0</v>
      </c>
      <c r="AI56" s="1" t="s">
        <v>1</v>
      </c>
      <c r="AJ56" s="7">
        <v>1</v>
      </c>
      <c r="AK56" s="9" t="str">
        <f t="shared" si="188"/>
        <v/>
      </c>
      <c r="AL56" s="3">
        <v>0</v>
      </c>
      <c r="AM56" s="1" t="s">
        <v>1</v>
      </c>
      <c r="AN56" s="7">
        <v>0</v>
      </c>
      <c r="AO56" s="9" t="str">
        <f t="shared" si="189"/>
        <v/>
      </c>
      <c r="AP56" s="3">
        <v>1</v>
      </c>
      <c r="AQ56" s="1" t="s">
        <v>1</v>
      </c>
      <c r="AR56" s="7">
        <v>2</v>
      </c>
      <c r="AS56" s="9" t="str">
        <f t="shared" si="190"/>
        <v/>
      </c>
      <c r="AT56" s="3">
        <v>2</v>
      </c>
      <c r="AU56" s="1" t="s">
        <v>1</v>
      </c>
      <c r="AV56" s="7">
        <v>1</v>
      </c>
      <c r="AW56" s="9" t="str">
        <f t="shared" si="191"/>
        <v/>
      </c>
      <c r="AX56" s="3">
        <v>0</v>
      </c>
      <c r="AY56" s="1" t="s">
        <v>1</v>
      </c>
      <c r="AZ56" s="7">
        <v>1</v>
      </c>
      <c r="BA56" s="9" t="str">
        <f t="shared" si="192"/>
        <v/>
      </c>
      <c r="BB56" s="3">
        <v>1</v>
      </c>
      <c r="BC56" s="1" t="s">
        <v>1</v>
      </c>
      <c r="BD56" s="7">
        <v>1</v>
      </c>
      <c r="BE56" s="9" t="str">
        <f t="shared" si="193"/>
        <v/>
      </c>
      <c r="BF56" s="3">
        <v>0</v>
      </c>
      <c r="BG56" s="1" t="s">
        <v>1</v>
      </c>
      <c r="BH56" s="7">
        <v>1</v>
      </c>
      <c r="BI56" s="9" t="str">
        <f t="shared" si="194"/>
        <v/>
      </c>
      <c r="BJ56" s="3">
        <v>1</v>
      </c>
      <c r="BK56" s="1" t="s">
        <v>1</v>
      </c>
      <c r="BL56" s="7">
        <v>3</v>
      </c>
      <c r="BM56" s="9" t="str">
        <f t="shared" si="195"/>
        <v/>
      </c>
      <c r="BN56" s="3">
        <v>0</v>
      </c>
      <c r="BO56" s="1" t="s">
        <v>1</v>
      </c>
      <c r="BP56" s="7">
        <v>1</v>
      </c>
      <c r="BQ56" s="9" t="str">
        <f t="shared" si="196"/>
        <v/>
      </c>
      <c r="BR56" s="3">
        <v>1</v>
      </c>
      <c r="BS56" s="1" t="s">
        <v>1</v>
      </c>
      <c r="BT56" s="7">
        <v>2</v>
      </c>
      <c r="BU56" s="9" t="str">
        <f t="shared" si="197"/>
        <v/>
      </c>
      <c r="BV56" s="3">
        <v>1</v>
      </c>
      <c r="BW56" s="1" t="s">
        <v>1</v>
      </c>
      <c r="BX56" s="7">
        <v>2</v>
      </c>
      <c r="BY56" s="9" t="str">
        <f t="shared" si="198"/>
        <v/>
      </c>
      <c r="BZ56" s="3">
        <v>1</v>
      </c>
      <c r="CA56" s="1" t="s">
        <v>1</v>
      </c>
      <c r="CB56" s="7">
        <v>1</v>
      </c>
      <c r="CC56" s="9" t="str">
        <f t="shared" si="199"/>
        <v/>
      </c>
      <c r="CD56" s="3">
        <v>1</v>
      </c>
      <c r="CE56" s="1" t="s">
        <v>1</v>
      </c>
      <c r="CF56" s="7">
        <v>1</v>
      </c>
      <c r="CG56" s="9" t="str">
        <f t="shared" si="200"/>
        <v/>
      </c>
      <c r="CH56" s="3">
        <v>2</v>
      </c>
      <c r="CI56" s="1" t="s">
        <v>1</v>
      </c>
      <c r="CJ56" s="7">
        <v>2</v>
      </c>
      <c r="CK56" s="9" t="str">
        <f t="shared" si="201"/>
        <v/>
      </c>
      <c r="CL56" s="3">
        <v>1</v>
      </c>
      <c r="CM56" s="1" t="s">
        <v>1</v>
      </c>
      <c r="CN56" s="7">
        <v>0</v>
      </c>
      <c r="CO56" s="9" t="str">
        <f t="shared" si="202"/>
        <v/>
      </c>
      <c r="CP56" s="3">
        <v>1</v>
      </c>
      <c r="CQ56" s="1" t="s">
        <v>1</v>
      </c>
      <c r="CR56" s="7">
        <v>2</v>
      </c>
      <c r="CS56" s="9" t="str">
        <f t="shared" si="203"/>
        <v/>
      </c>
      <c r="CT56" s="3">
        <v>1</v>
      </c>
      <c r="CU56" s="1" t="s">
        <v>1</v>
      </c>
      <c r="CV56" s="7">
        <v>1</v>
      </c>
      <c r="CW56" s="9" t="str">
        <f t="shared" si="204"/>
        <v/>
      </c>
      <c r="CX56" s="3">
        <v>1</v>
      </c>
      <c r="CY56" s="1" t="s">
        <v>1</v>
      </c>
      <c r="CZ56" s="7">
        <v>2</v>
      </c>
      <c r="DA56" s="9" t="str">
        <f t="shared" si="205"/>
        <v/>
      </c>
      <c r="DB56" s="3">
        <v>1</v>
      </c>
      <c r="DC56" s="1" t="s">
        <v>1</v>
      </c>
      <c r="DD56" s="7">
        <v>1</v>
      </c>
      <c r="DE56" s="9" t="str">
        <f t="shared" si="206"/>
        <v/>
      </c>
      <c r="DF56" s="3">
        <v>1</v>
      </c>
      <c r="DG56" s="1" t="s">
        <v>1</v>
      </c>
      <c r="DH56" s="7">
        <v>1</v>
      </c>
      <c r="DI56" s="9" t="str">
        <f t="shared" si="207"/>
        <v/>
      </c>
    </row>
    <row r="57" spans="2:113" ht="15" thickBot="1" x14ac:dyDescent="0.35">
      <c r="B57" s="13">
        <v>46200</v>
      </c>
      <c r="C57" s="8" t="s">
        <v>74</v>
      </c>
      <c r="D57" s="4" t="s">
        <v>42</v>
      </c>
      <c r="E57" s="2" t="s">
        <v>1</v>
      </c>
      <c r="F57" s="6" t="s">
        <v>39</v>
      </c>
      <c r="G57" s="4"/>
      <c r="H57" s="2" t="s">
        <v>1</v>
      </c>
      <c r="I57" s="6"/>
      <c r="J57" s="4">
        <v>1</v>
      </c>
      <c r="K57" s="2" t="s">
        <v>1</v>
      </c>
      <c r="L57" s="8">
        <v>1</v>
      </c>
      <c r="M57" s="10" t="str">
        <f t="shared" si="182"/>
        <v/>
      </c>
      <c r="N57" s="4">
        <v>1</v>
      </c>
      <c r="O57" s="2" t="s">
        <v>1</v>
      </c>
      <c r="P57" s="8">
        <v>2</v>
      </c>
      <c r="Q57" s="10" t="str">
        <f t="shared" si="183"/>
        <v/>
      </c>
      <c r="R57" s="4">
        <v>1</v>
      </c>
      <c r="S57" s="2" t="s">
        <v>1</v>
      </c>
      <c r="T57" s="8">
        <v>2</v>
      </c>
      <c r="U57" s="10" t="str">
        <f t="shared" si="184"/>
        <v/>
      </c>
      <c r="V57" s="4">
        <v>1</v>
      </c>
      <c r="W57" s="2" t="s">
        <v>1</v>
      </c>
      <c r="X57" s="8">
        <v>1</v>
      </c>
      <c r="Y57" s="10" t="str">
        <f t="shared" si="185"/>
        <v/>
      </c>
      <c r="Z57" s="4">
        <v>1</v>
      </c>
      <c r="AA57" s="2" t="s">
        <v>1</v>
      </c>
      <c r="AB57" s="8">
        <v>2</v>
      </c>
      <c r="AC57" s="10" t="str">
        <f t="shared" si="186"/>
        <v/>
      </c>
      <c r="AD57" s="4">
        <v>2</v>
      </c>
      <c r="AE57" s="2" t="s">
        <v>1</v>
      </c>
      <c r="AF57" s="8">
        <v>3</v>
      </c>
      <c r="AG57" s="10" t="str">
        <f t="shared" si="187"/>
        <v/>
      </c>
      <c r="AH57" s="4">
        <v>1</v>
      </c>
      <c r="AI57" s="2" t="s">
        <v>1</v>
      </c>
      <c r="AJ57" s="8">
        <v>2</v>
      </c>
      <c r="AK57" s="10" t="str">
        <f t="shared" si="188"/>
        <v/>
      </c>
      <c r="AL57" s="4">
        <v>0</v>
      </c>
      <c r="AM57" s="2" t="s">
        <v>1</v>
      </c>
      <c r="AN57" s="8">
        <v>1</v>
      </c>
      <c r="AO57" s="10" t="str">
        <f t="shared" si="189"/>
        <v/>
      </c>
      <c r="AP57" s="4">
        <v>1</v>
      </c>
      <c r="AQ57" s="2" t="s">
        <v>1</v>
      </c>
      <c r="AR57" s="8">
        <v>2</v>
      </c>
      <c r="AS57" s="10" t="str">
        <f t="shared" si="190"/>
        <v/>
      </c>
      <c r="AT57" s="4">
        <v>2</v>
      </c>
      <c r="AU57" s="2" t="s">
        <v>1</v>
      </c>
      <c r="AV57" s="8">
        <v>3</v>
      </c>
      <c r="AW57" s="10" t="str">
        <f t="shared" si="191"/>
        <v/>
      </c>
      <c r="AX57" s="4">
        <v>1</v>
      </c>
      <c r="AY57" s="2" t="s">
        <v>1</v>
      </c>
      <c r="AZ57" s="8">
        <v>3</v>
      </c>
      <c r="BA57" s="10" t="str">
        <f t="shared" si="192"/>
        <v/>
      </c>
      <c r="BB57" s="4">
        <v>1</v>
      </c>
      <c r="BC57" s="2" t="s">
        <v>1</v>
      </c>
      <c r="BD57" s="8">
        <v>1</v>
      </c>
      <c r="BE57" s="10" t="str">
        <f t="shared" si="193"/>
        <v/>
      </c>
      <c r="BF57" s="4">
        <v>2</v>
      </c>
      <c r="BG57" s="2" t="s">
        <v>1</v>
      </c>
      <c r="BH57" s="8">
        <v>3</v>
      </c>
      <c r="BI57" s="10" t="str">
        <f t="shared" si="194"/>
        <v/>
      </c>
      <c r="BJ57" s="4">
        <v>1</v>
      </c>
      <c r="BK57" s="2" t="s">
        <v>1</v>
      </c>
      <c r="BL57" s="8">
        <v>2</v>
      </c>
      <c r="BM57" s="10" t="str">
        <f t="shared" si="195"/>
        <v/>
      </c>
      <c r="BN57" s="4">
        <v>1</v>
      </c>
      <c r="BO57" s="2" t="s">
        <v>1</v>
      </c>
      <c r="BP57" s="8">
        <v>2</v>
      </c>
      <c r="BQ57" s="10" t="str">
        <f t="shared" si="196"/>
        <v/>
      </c>
      <c r="BR57" s="4">
        <v>2</v>
      </c>
      <c r="BS57" s="2" t="s">
        <v>1</v>
      </c>
      <c r="BT57" s="8">
        <v>3</v>
      </c>
      <c r="BU57" s="10" t="str">
        <f t="shared" si="197"/>
        <v/>
      </c>
      <c r="BV57" s="4">
        <v>0</v>
      </c>
      <c r="BW57" s="2" t="s">
        <v>1</v>
      </c>
      <c r="BX57" s="8">
        <v>1</v>
      </c>
      <c r="BY57" s="10" t="str">
        <f t="shared" si="198"/>
        <v/>
      </c>
      <c r="BZ57" s="4">
        <v>1</v>
      </c>
      <c r="CA57" s="2" t="s">
        <v>1</v>
      </c>
      <c r="CB57" s="8">
        <v>3</v>
      </c>
      <c r="CC57" s="10" t="str">
        <f t="shared" si="199"/>
        <v/>
      </c>
      <c r="CD57" s="4">
        <v>0</v>
      </c>
      <c r="CE57" s="2" t="s">
        <v>1</v>
      </c>
      <c r="CF57" s="8">
        <v>1</v>
      </c>
      <c r="CG57" s="10" t="str">
        <f t="shared" si="200"/>
        <v/>
      </c>
      <c r="CH57" s="4">
        <v>1</v>
      </c>
      <c r="CI57" s="2" t="s">
        <v>1</v>
      </c>
      <c r="CJ57" s="8">
        <v>3</v>
      </c>
      <c r="CK57" s="10" t="str">
        <f t="shared" si="201"/>
        <v/>
      </c>
      <c r="CL57" s="4">
        <v>1</v>
      </c>
      <c r="CM57" s="2" t="s">
        <v>1</v>
      </c>
      <c r="CN57" s="8">
        <v>2</v>
      </c>
      <c r="CO57" s="10" t="str">
        <f t="shared" si="202"/>
        <v/>
      </c>
      <c r="CP57" s="4">
        <v>1</v>
      </c>
      <c r="CQ57" s="2" t="s">
        <v>1</v>
      </c>
      <c r="CR57" s="8">
        <v>3</v>
      </c>
      <c r="CS57" s="10" t="str">
        <f t="shared" si="203"/>
        <v/>
      </c>
      <c r="CT57" s="4">
        <v>1</v>
      </c>
      <c r="CU57" s="2" t="s">
        <v>1</v>
      </c>
      <c r="CV57" s="8">
        <v>1</v>
      </c>
      <c r="CW57" s="10" t="str">
        <f t="shared" si="204"/>
        <v/>
      </c>
      <c r="CX57" s="4">
        <v>0</v>
      </c>
      <c r="CY57" s="2" t="s">
        <v>1</v>
      </c>
      <c r="CZ57" s="8">
        <v>2</v>
      </c>
      <c r="DA57" s="10" t="str">
        <f t="shared" si="205"/>
        <v/>
      </c>
      <c r="DB57" s="4">
        <v>1</v>
      </c>
      <c r="DC57" s="2" t="s">
        <v>1</v>
      </c>
      <c r="DD57" s="8">
        <v>2</v>
      </c>
      <c r="DE57" s="10" t="str">
        <f t="shared" si="206"/>
        <v/>
      </c>
      <c r="DF57" s="4">
        <v>1</v>
      </c>
      <c r="DG57" s="2" t="s">
        <v>1</v>
      </c>
      <c r="DH57" s="8">
        <v>2</v>
      </c>
      <c r="DI57" s="10" t="str">
        <f t="shared" si="207"/>
        <v/>
      </c>
    </row>
    <row r="58" spans="2:113" ht="15" thickBot="1" x14ac:dyDescent="0.35">
      <c r="B58" s="51" t="s">
        <v>77</v>
      </c>
      <c r="C58" s="52" t="s">
        <v>78</v>
      </c>
      <c r="D58" s="157" t="s">
        <v>43</v>
      </c>
      <c r="E58" s="158"/>
      <c r="F58" s="159"/>
      <c r="G58" s="53" t="s">
        <v>7</v>
      </c>
      <c r="H58" s="54"/>
      <c r="I58" s="55"/>
      <c r="J58" s="61"/>
      <c r="K58" s="62"/>
      <c r="L58" s="62"/>
      <c r="M58" s="63"/>
      <c r="N58" s="64"/>
      <c r="O58" s="65"/>
      <c r="P58" s="65"/>
      <c r="Q58" s="66"/>
      <c r="R58" s="67"/>
      <c r="S58" s="68"/>
      <c r="T58" s="68"/>
      <c r="U58" s="69"/>
      <c r="V58" s="109"/>
      <c r="W58" s="110"/>
      <c r="X58" s="110"/>
      <c r="Y58" s="111"/>
      <c r="Z58" s="70"/>
      <c r="AA58" s="71"/>
      <c r="AB58" s="71"/>
      <c r="AC58" s="72"/>
      <c r="AD58" s="73"/>
      <c r="AE58" s="74"/>
      <c r="AF58" s="74"/>
      <c r="AG58" s="75"/>
      <c r="AH58" s="76"/>
      <c r="AI58" s="77"/>
      <c r="AJ58" s="77"/>
      <c r="AK58" s="78"/>
      <c r="AL58" s="79"/>
      <c r="AM58" s="80"/>
      <c r="AN58" s="80"/>
      <c r="AO58" s="81"/>
      <c r="AP58" s="41"/>
      <c r="AQ58" s="42"/>
      <c r="AR58" s="42"/>
      <c r="AS58" s="43"/>
      <c r="AT58" s="82"/>
      <c r="AU58" s="83"/>
      <c r="AV58" s="83"/>
      <c r="AW58" s="84"/>
      <c r="AX58" s="85"/>
      <c r="AY58" s="86"/>
      <c r="AZ58" s="86"/>
      <c r="BA58" s="87"/>
      <c r="BB58" s="88"/>
      <c r="BC58" s="89"/>
      <c r="BD58" s="89"/>
      <c r="BE58" s="90"/>
      <c r="BF58" s="91"/>
      <c r="BG58" s="92"/>
      <c r="BH58" s="92"/>
      <c r="BI58" s="93"/>
      <c r="BJ58" s="94"/>
      <c r="BK58" s="95"/>
      <c r="BL58" s="95"/>
      <c r="BM58" s="96"/>
      <c r="BN58" s="34"/>
      <c r="BO58" s="36"/>
      <c r="BP58" s="36"/>
      <c r="BQ58" s="35"/>
      <c r="BR58" s="79"/>
      <c r="BS58" s="80"/>
      <c r="BT58" s="80"/>
      <c r="BU58" s="81"/>
      <c r="BV58" s="97"/>
      <c r="BW58" s="98"/>
      <c r="BX58" s="98"/>
      <c r="BY58" s="99"/>
      <c r="BZ58" s="41"/>
      <c r="CA58" s="42"/>
      <c r="CB58" s="42"/>
      <c r="CC58" s="43"/>
      <c r="CD58" s="100"/>
      <c r="CE58" s="101"/>
      <c r="CF58" s="101"/>
      <c r="CG58" s="102"/>
      <c r="CH58" s="103"/>
      <c r="CI58" s="104"/>
      <c r="CJ58" s="104"/>
      <c r="CK58" s="105"/>
      <c r="CL58" s="109"/>
      <c r="CM58" s="110"/>
      <c r="CN58" s="110"/>
      <c r="CO58" s="111"/>
      <c r="CP58" s="106"/>
      <c r="CQ58" s="107"/>
      <c r="CR58" s="107"/>
      <c r="CS58" s="108"/>
      <c r="CT58" s="85"/>
      <c r="CU58" s="86"/>
      <c r="CV58" s="86"/>
      <c r="CW58" s="87"/>
      <c r="CX58" s="133"/>
      <c r="CY58" s="134"/>
      <c r="CZ58" s="134"/>
      <c r="DA58" s="135"/>
      <c r="DB58" s="137"/>
      <c r="DC58" s="138"/>
      <c r="DD58" s="138"/>
      <c r="DE58" s="139"/>
      <c r="DF58" s="53"/>
      <c r="DG58" s="54"/>
      <c r="DH58" s="54"/>
      <c r="DI58" s="55"/>
    </row>
    <row r="59" spans="2:113" x14ac:dyDescent="0.3">
      <c r="B59" s="12">
        <v>46189</v>
      </c>
      <c r="C59" s="7" t="s">
        <v>63</v>
      </c>
      <c r="D59" s="3" t="s">
        <v>44</v>
      </c>
      <c r="E59" s="1" t="s">
        <v>1</v>
      </c>
      <c r="F59" s="5" t="s">
        <v>45</v>
      </c>
      <c r="G59" s="3"/>
      <c r="H59" s="1" t="s">
        <v>1</v>
      </c>
      <c r="I59" s="5"/>
      <c r="J59" s="3">
        <v>1</v>
      </c>
      <c r="K59" s="1" t="s">
        <v>1</v>
      </c>
      <c r="L59" s="7">
        <v>1</v>
      </c>
      <c r="M59" s="11" t="str">
        <f>IF(ISBLANK($I59)=TRUE,"",IF(SIGN(J59-L59)=SIGN($G59-$I59),1,0)+IF(J59=$G59,IF(L59=$I59,2,0),0))</f>
        <v/>
      </c>
      <c r="N59" s="3">
        <v>2</v>
      </c>
      <c r="O59" s="1" t="s">
        <v>1</v>
      </c>
      <c r="P59" s="7">
        <v>1</v>
      </c>
      <c r="Q59" s="11" t="str">
        <f>IF(ISBLANK($I59)=TRUE,"",IF(SIGN(N59-P59)=SIGN($G59-$I59),1,0)+IF(N59=$G59,IF(P59=$I59,2,0),0))</f>
        <v/>
      </c>
      <c r="R59" s="3">
        <v>3</v>
      </c>
      <c r="S59" s="1" t="s">
        <v>1</v>
      </c>
      <c r="T59" s="7">
        <v>0</v>
      </c>
      <c r="U59" s="11" t="str">
        <f>IF(ISBLANK($I59)=TRUE,"",IF(SIGN(R59-T59)=SIGN($G59-$I59),1,0)+IF(R59=$G59,IF(T59=$I59,2,0),0))</f>
        <v/>
      </c>
      <c r="V59" s="3">
        <v>2</v>
      </c>
      <c r="W59" s="1" t="s">
        <v>1</v>
      </c>
      <c r="X59" s="7">
        <v>0</v>
      </c>
      <c r="Y59" s="11" t="str">
        <f>IF(ISBLANK($I59)=TRUE,"",IF(SIGN(V59-X59)=SIGN($G59-$I59),1,0)+IF(V59=$G59,IF(X59=$I59,2,0),0))</f>
        <v/>
      </c>
      <c r="Z59" s="3">
        <v>2</v>
      </c>
      <c r="AA59" s="1" t="s">
        <v>1</v>
      </c>
      <c r="AB59" s="7">
        <v>1</v>
      </c>
      <c r="AC59" s="11" t="str">
        <f>IF(ISBLANK($I59)=TRUE,"",IF(SIGN(Z59-AB59)=SIGN($G59-$I59),1,0)+IF(Z59=$G59,IF(AB59=$I59,2,0),0))</f>
        <v/>
      </c>
      <c r="AD59" s="3">
        <v>3</v>
      </c>
      <c r="AE59" s="1" t="s">
        <v>1</v>
      </c>
      <c r="AF59" s="7">
        <v>1</v>
      </c>
      <c r="AG59" s="11" t="str">
        <f>IF(ISBLANK($I59)=TRUE,"",IF(SIGN(AD59-AF59)=SIGN($G59-$I59),1,0)+IF(AD59=$G59,IF(AF59=$I59,2,0),0))</f>
        <v/>
      </c>
      <c r="AH59" s="3">
        <v>2</v>
      </c>
      <c r="AI59" s="1" t="s">
        <v>1</v>
      </c>
      <c r="AJ59" s="7">
        <v>1</v>
      </c>
      <c r="AK59" s="11" t="str">
        <f>IF(ISBLANK($I59)=TRUE,"",IF(SIGN(AH59-AJ59)=SIGN($G59-$I59),1,0)+IF(AH59=$G59,IF(AJ59=$I59,2,0),0))</f>
        <v/>
      </c>
      <c r="AL59" s="3">
        <v>1</v>
      </c>
      <c r="AM59" s="1" t="s">
        <v>1</v>
      </c>
      <c r="AN59" s="7">
        <v>0</v>
      </c>
      <c r="AO59" s="11" t="str">
        <f>IF(ISBLANK($I59)=TRUE,"",IF(SIGN(AL59-AN59)=SIGN($G59-$I59),1,0)+IF(AL59=$G59,IF(AN59=$I59,2,0),0))</f>
        <v/>
      </c>
      <c r="AP59" s="3">
        <v>2</v>
      </c>
      <c r="AQ59" s="1" t="s">
        <v>1</v>
      </c>
      <c r="AR59" s="7">
        <v>1</v>
      </c>
      <c r="AS59" s="11" t="str">
        <f>IF(ISBLANK($I59)=TRUE,"",IF(SIGN(AP59-AR59)=SIGN($G59-$I59),1,0)+IF(AP59=$G59,IF(AR59=$I59,2,0),0))</f>
        <v/>
      </c>
      <c r="AT59" s="3">
        <v>2</v>
      </c>
      <c r="AU59" s="1" t="s">
        <v>1</v>
      </c>
      <c r="AV59" s="7">
        <v>1</v>
      </c>
      <c r="AW59" s="11" t="str">
        <f>IF(ISBLANK($I59)=TRUE,"",IF(SIGN(AT59-AV59)=SIGN($G59-$I59),1,0)+IF(AT59=$G59,IF(AV59=$I59,2,0),0))</f>
        <v/>
      </c>
      <c r="AX59" s="3">
        <v>2</v>
      </c>
      <c r="AY59" s="1" t="s">
        <v>1</v>
      </c>
      <c r="AZ59" s="7">
        <v>1</v>
      </c>
      <c r="BA59" s="11" t="str">
        <f>IF(ISBLANK($I59)=TRUE,"",IF(SIGN(AX59-AZ59)=SIGN($G59-$I59),1,0)+IF(AX59=$G59,IF(AZ59=$I59,2,0),0))</f>
        <v/>
      </c>
      <c r="BB59" s="3">
        <v>1</v>
      </c>
      <c r="BC59" s="1" t="s">
        <v>1</v>
      </c>
      <c r="BD59" s="7">
        <v>0</v>
      </c>
      <c r="BE59" s="11" t="str">
        <f>IF(ISBLANK($I59)=TRUE,"",IF(SIGN(BB59-BD59)=SIGN($G59-$I59),1,0)+IF(BB59=$G59,IF(BD59=$I59,2,0),0))</f>
        <v/>
      </c>
      <c r="BF59" s="3">
        <v>2</v>
      </c>
      <c r="BG59" s="1" t="s">
        <v>1</v>
      </c>
      <c r="BH59" s="7">
        <v>1</v>
      </c>
      <c r="BI59" s="11" t="str">
        <f>IF(ISBLANK($I59)=TRUE,"",IF(SIGN(BF59-BH59)=SIGN($G59-$I59),1,0)+IF(BF59=$G59,IF(BH59=$I59,2,0),0))</f>
        <v/>
      </c>
      <c r="BJ59" s="3">
        <v>2</v>
      </c>
      <c r="BK59" s="1" t="s">
        <v>1</v>
      </c>
      <c r="BL59" s="7">
        <v>1</v>
      </c>
      <c r="BM59" s="11" t="str">
        <f>IF(ISBLANK($I59)=TRUE,"",IF(SIGN(BJ59-BL59)=SIGN($G59-$I59),1,0)+IF(BJ59=$G59,IF(BL59=$I59,2,0),0))</f>
        <v/>
      </c>
      <c r="BN59" s="3">
        <v>2</v>
      </c>
      <c r="BO59" s="1" t="s">
        <v>1</v>
      </c>
      <c r="BP59" s="7">
        <v>0</v>
      </c>
      <c r="BQ59" s="11" t="str">
        <f>IF(ISBLANK($I59)=TRUE,"",IF(SIGN(BN59-BP59)=SIGN($G59-$I59),1,0)+IF(BN59=$G59,IF(BP59=$I59,2,0),0))</f>
        <v/>
      </c>
      <c r="BR59" s="3">
        <v>2</v>
      </c>
      <c r="BS59" s="1" t="s">
        <v>1</v>
      </c>
      <c r="BT59" s="7">
        <v>1</v>
      </c>
      <c r="BU59" s="11" t="str">
        <f>IF(ISBLANK($I59)=TRUE,"",IF(SIGN(BR59-BT59)=SIGN($G59-$I59),1,0)+IF(BR59=$G59,IF(BT59=$I59,2,0),0))</f>
        <v/>
      </c>
      <c r="BV59" s="3">
        <v>2</v>
      </c>
      <c r="BW59" s="1" t="s">
        <v>1</v>
      </c>
      <c r="BX59" s="7">
        <v>1</v>
      </c>
      <c r="BY59" s="11" t="str">
        <f>IF(ISBLANK($I59)=TRUE,"",IF(SIGN(BV59-BX59)=SIGN($G59-$I59),1,0)+IF(BV59=$G59,IF(BX59=$I59,2,0),0))</f>
        <v/>
      </c>
      <c r="BZ59" s="3">
        <v>2</v>
      </c>
      <c r="CA59" s="1" t="s">
        <v>1</v>
      </c>
      <c r="CB59" s="7">
        <v>1</v>
      </c>
      <c r="CC59" s="11" t="str">
        <f>IF(ISBLANK($I59)=TRUE,"",IF(SIGN(BZ59-CB59)=SIGN($G59-$I59),1,0)+IF(BZ59=$G59,IF(CB59=$I59,2,0),0))</f>
        <v/>
      </c>
      <c r="CD59" s="3">
        <v>2</v>
      </c>
      <c r="CE59" s="1" t="s">
        <v>1</v>
      </c>
      <c r="CF59" s="7">
        <v>1</v>
      </c>
      <c r="CG59" s="11" t="str">
        <f>IF(ISBLANK($I59)=TRUE,"",IF(SIGN(CD59-CF59)=SIGN($G59-$I59),1,0)+IF(CD59=$G59,IF(CF59=$I59,2,0),0))</f>
        <v/>
      </c>
      <c r="CH59" s="3">
        <v>3</v>
      </c>
      <c r="CI59" s="1" t="s">
        <v>1</v>
      </c>
      <c r="CJ59" s="7">
        <v>2</v>
      </c>
      <c r="CK59" s="11" t="str">
        <f>IF(ISBLANK($I59)=TRUE,"",IF(SIGN(CH59-CJ59)=SIGN($G59-$I59),1,0)+IF(CH59=$G59,IF(CJ59=$I59,2,0),0))</f>
        <v/>
      </c>
      <c r="CL59" s="3">
        <v>2</v>
      </c>
      <c r="CM59" s="1" t="s">
        <v>1</v>
      </c>
      <c r="CN59" s="7">
        <v>1</v>
      </c>
      <c r="CO59" s="11" t="str">
        <f>IF(ISBLANK($I59)=TRUE,"",IF(SIGN(CL59-CN59)=SIGN($G59-$I59),1,0)+IF(CL59=$G59,IF(CN59=$I59,2,0),0))</f>
        <v/>
      </c>
      <c r="CP59" s="3">
        <v>3</v>
      </c>
      <c r="CQ59" s="1" t="s">
        <v>1</v>
      </c>
      <c r="CR59" s="7">
        <v>1</v>
      </c>
      <c r="CS59" s="11" t="str">
        <f>IF(ISBLANK($I59)=TRUE,"",IF(SIGN(CP59-CR59)=SIGN($G59-$I59),1,0)+IF(CP59=$G59,IF(CR59=$I59,2,0),0))</f>
        <v/>
      </c>
      <c r="CT59" s="3">
        <v>2</v>
      </c>
      <c r="CU59" s="1" t="s">
        <v>1</v>
      </c>
      <c r="CV59" s="7">
        <v>0</v>
      </c>
      <c r="CW59" s="11" t="str">
        <f>IF(ISBLANK($I59)=TRUE,"",IF(SIGN(CT59-CV59)=SIGN($G59-$I59),1,0)+IF(CT59=$G59,IF(CV59=$I59,2,0),0))</f>
        <v/>
      </c>
      <c r="CX59" s="3">
        <v>0</v>
      </c>
      <c r="CY59" s="1" t="s">
        <v>1</v>
      </c>
      <c r="CZ59" s="7">
        <v>2</v>
      </c>
      <c r="DA59" s="11" t="str">
        <f>IF(ISBLANK($I59)=TRUE,"",IF(SIGN(CX59-CZ59)=SIGN($G59-$I59),1,0)+IF(CX59=$G59,IF(CZ59=$I59,2,0),0))</f>
        <v/>
      </c>
      <c r="DB59" s="3">
        <v>2</v>
      </c>
      <c r="DC59" s="1" t="s">
        <v>1</v>
      </c>
      <c r="DD59" s="7">
        <v>0</v>
      </c>
      <c r="DE59" s="11" t="str">
        <f>IF(ISBLANK($I59)=TRUE,"",IF(SIGN(DB59-DD59)=SIGN($G59-$I59),1,0)+IF(DB59=$G59,IF(DD59=$I59,2,0),0))</f>
        <v/>
      </c>
      <c r="DF59" s="3">
        <v>2</v>
      </c>
      <c r="DG59" s="1" t="s">
        <v>1</v>
      </c>
      <c r="DH59" s="7">
        <v>2</v>
      </c>
      <c r="DI59" s="11" t="str">
        <f>IF(ISBLANK($I59)=TRUE,"",IF(SIGN(DF59-DH59)=SIGN($G59-$I59),1,0)+IF(DF59=$G59,IF(DH59=$I59,2,0),0))</f>
        <v/>
      </c>
    </row>
    <row r="60" spans="2:113" x14ac:dyDescent="0.3">
      <c r="B60" s="12">
        <v>46190</v>
      </c>
      <c r="C60" s="7" t="s">
        <v>67</v>
      </c>
      <c r="D60" s="3" t="s">
        <v>46</v>
      </c>
      <c r="E60" s="1" t="s">
        <v>1</v>
      </c>
      <c r="F60" s="5" t="s">
        <v>47</v>
      </c>
      <c r="G60" s="3"/>
      <c r="H60" s="1" t="s">
        <v>1</v>
      </c>
      <c r="I60" s="5"/>
      <c r="J60" s="3">
        <v>0</v>
      </c>
      <c r="K60" s="1" t="s">
        <v>1</v>
      </c>
      <c r="L60" s="7">
        <v>2</v>
      </c>
      <c r="M60" s="9" t="str">
        <f t="shared" ref="M60:M64" si="208">IF(ISBLANK($G60)=TRUE,"",IF(SIGN(J60-L60)=SIGN($G60-$I60),1,0)+IF(J60=$G60,IF(L60=$I60,2,0),0))</f>
        <v/>
      </c>
      <c r="N60" s="3">
        <v>0</v>
      </c>
      <c r="O60" s="1" t="s">
        <v>1</v>
      </c>
      <c r="P60" s="7">
        <v>2</v>
      </c>
      <c r="Q60" s="9" t="str">
        <f t="shared" ref="Q60:Q64" si="209">IF(ISBLANK($G60)=TRUE,"",IF(SIGN(N60-P60)=SIGN($G60-$I60),1,0)+IF(N60=$G60,IF(P60=$I60,2,0),0))</f>
        <v/>
      </c>
      <c r="R60" s="3">
        <v>1</v>
      </c>
      <c r="S60" s="1" t="s">
        <v>1</v>
      </c>
      <c r="T60" s="7">
        <v>4</v>
      </c>
      <c r="U60" s="9" t="str">
        <f t="shared" ref="U60:U64" si="210">IF(ISBLANK($G60)=TRUE,"",IF(SIGN(R60-T60)=SIGN($G60-$I60),1,0)+IF(R60=$G60,IF(T60=$I60,2,0),0))</f>
        <v/>
      </c>
      <c r="V60" s="3">
        <v>0</v>
      </c>
      <c r="W60" s="1" t="s">
        <v>1</v>
      </c>
      <c r="X60" s="7">
        <v>4</v>
      </c>
      <c r="Y60" s="9" t="str">
        <f t="shared" ref="Y60:Y64" si="211">IF(ISBLANK($G60)=TRUE,"",IF(SIGN(V60-X60)=SIGN($G60-$I60),1,0)+IF(V60=$G60,IF(X60=$I60,2,0),0))</f>
        <v/>
      </c>
      <c r="Z60" s="3">
        <v>0</v>
      </c>
      <c r="AA60" s="1" t="s">
        <v>1</v>
      </c>
      <c r="AB60" s="7">
        <v>3</v>
      </c>
      <c r="AC60" s="9" t="str">
        <f t="shared" ref="AC60:AC64" si="212">IF(ISBLANK($G60)=TRUE,"",IF(SIGN(Z60-AB60)=SIGN($G60-$I60),1,0)+IF(Z60=$G60,IF(AB60=$I60,2,0),0))</f>
        <v/>
      </c>
      <c r="AD60" s="3">
        <v>0</v>
      </c>
      <c r="AE60" s="1" t="s">
        <v>1</v>
      </c>
      <c r="AF60" s="7">
        <v>2</v>
      </c>
      <c r="AG60" s="9" t="str">
        <f t="shared" ref="AG60:AG64" si="213">IF(ISBLANK($G60)=TRUE,"",IF(SIGN(AD60-AF60)=SIGN($G60-$I60),1,0)+IF(AD60=$G60,IF(AF60=$I60,2,0),0))</f>
        <v/>
      </c>
      <c r="AH60" s="3">
        <v>0</v>
      </c>
      <c r="AI60" s="1" t="s">
        <v>1</v>
      </c>
      <c r="AJ60" s="7">
        <v>2</v>
      </c>
      <c r="AK60" s="9" t="str">
        <f t="shared" ref="AK60:AK64" si="214">IF(ISBLANK($G60)=TRUE,"",IF(SIGN(AH60-AJ60)=SIGN($G60-$I60),1,0)+IF(AH60=$G60,IF(AJ60=$I60,2,0),0))</f>
        <v/>
      </c>
      <c r="AL60" s="3">
        <v>0</v>
      </c>
      <c r="AM60" s="1" t="s">
        <v>1</v>
      </c>
      <c r="AN60" s="7">
        <v>2</v>
      </c>
      <c r="AO60" s="9" t="str">
        <f t="shared" ref="AO60:AO64" si="215">IF(ISBLANK($G60)=TRUE,"",IF(SIGN(AL60-AN60)=SIGN($G60-$I60),1,0)+IF(AL60=$G60,IF(AN60=$I60,2,0),0))</f>
        <v/>
      </c>
      <c r="AP60" s="3">
        <v>0</v>
      </c>
      <c r="AQ60" s="1" t="s">
        <v>1</v>
      </c>
      <c r="AR60" s="7">
        <v>2</v>
      </c>
      <c r="AS60" s="9" t="str">
        <f t="shared" ref="AS60:AS64" si="216">IF(ISBLANK($G60)=TRUE,"",IF(SIGN(AP60-AR60)=SIGN($G60-$I60),1,0)+IF(AP60=$G60,IF(AR60=$I60,2,0),0))</f>
        <v/>
      </c>
      <c r="AT60" s="3">
        <v>1</v>
      </c>
      <c r="AU60" s="1" t="s">
        <v>1</v>
      </c>
      <c r="AV60" s="7">
        <v>2</v>
      </c>
      <c r="AW60" s="9" t="str">
        <f t="shared" ref="AW60:AW64" si="217">IF(ISBLANK($G60)=TRUE,"",IF(SIGN(AT60-AV60)=SIGN($G60-$I60),1,0)+IF(AT60=$G60,IF(AV60=$I60,2,0),0))</f>
        <v/>
      </c>
      <c r="AX60" s="3">
        <v>1</v>
      </c>
      <c r="AY60" s="1" t="s">
        <v>1</v>
      </c>
      <c r="AZ60" s="7">
        <v>3</v>
      </c>
      <c r="BA60" s="9" t="str">
        <f t="shared" ref="BA60:BA64" si="218">IF(ISBLANK($G60)=TRUE,"",IF(SIGN(AX60-AZ60)=SIGN($G60-$I60),1,0)+IF(AX60=$G60,IF(AZ60=$I60,2,0),0))</f>
        <v/>
      </c>
      <c r="BB60" s="3">
        <v>0</v>
      </c>
      <c r="BC60" s="1" t="s">
        <v>1</v>
      </c>
      <c r="BD60" s="7">
        <v>4</v>
      </c>
      <c r="BE60" s="9" t="str">
        <f t="shared" ref="BE60:BE64" si="219">IF(ISBLANK($G60)=TRUE,"",IF(SIGN(BB60-BD60)=SIGN($G60-$I60),1,0)+IF(BB60=$G60,IF(BD60=$I60,2,0),0))</f>
        <v/>
      </c>
      <c r="BF60" s="3">
        <v>0</v>
      </c>
      <c r="BG60" s="1" t="s">
        <v>1</v>
      </c>
      <c r="BH60" s="7">
        <v>3</v>
      </c>
      <c r="BI60" s="9" t="str">
        <f t="shared" ref="BI60:BI64" si="220">IF(ISBLANK($G60)=TRUE,"",IF(SIGN(BF60-BH60)=SIGN($G60-$I60),1,0)+IF(BF60=$G60,IF(BH60=$I60,2,0),0))</f>
        <v/>
      </c>
      <c r="BJ60" s="3">
        <v>1</v>
      </c>
      <c r="BK60" s="1" t="s">
        <v>1</v>
      </c>
      <c r="BL60" s="7">
        <v>3</v>
      </c>
      <c r="BM60" s="9" t="str">
        <f t="shared" ref="BM60:BM64" si="221">IF(ISBLANK($G60)=TRUE,"",IF(SIGN(BJ60-BL60)=SIGN($G60-$I60),1,0)+IF(BJ60=$G60,IF(BL60=$I60,2,0),0))</f>
        <v/>
      </c>
      <c r="BN60" s="3">
        <v>0</v>
      </c>
      <c r="BO60" s="1" t="s">
        <v>1</v>
      </c>
      <c r="BP60" s="7">
        <v>2</v>
      </c>
      <c r="BQ60" s="9" t="str">
        <f t="shared" ref="BQ60:BQ64" si="222">IF(ISBLANK($G60)=TRUE,"",IF(SIGN(BN60-BP60)=SIGN($G60-$I60),1,0)+IF(BN60=$G60,IF(BP60=$I60,2,0),0))</f>
        <v/>
      </c>
      <c r="BR60" s="3">
        <v>1</v>
      </c>
      <c r="BS60" s="1" t="s">
        <v>1</v>
      </c>
      <c r="BT60" s="7">
        <v>2</v>
      </c>
      <c r="BU60" s="9" t="str">
        <f t="shared" ref="BU60:BU64" si="223">IF(ISBLANK($G60)=TRUE,"",IF(SIGN(BR60-BT60)=SIGN($G60-$I60),1,0)+IF(BR60=$G60,IF(BT60=$I60,2,0),0))</f>
        <v/>
      </c>
      <c r="BV60" s="3">
        <v>1</v>
      </c>
      <c r="BW60" s="1" t="s">
        <v>1</v>
      </c>
      <c r="BX60" s="7">
        <v>3</v>
      </c>
      <c r="BY60" s="9" t="str">
        <f t="shared" ref="BY60:BY64" si="224">IF(ISBLANK($G60)=TRUE,"",IF(SIGN(BV60-BX60)=SIGN($G60-$I60),1,0)+IF(BV60=$G60,IF(BX60=$I60,2,0),0))</f>
        <v/>
      </c>
      <c r="BZ60" s="3">
        <v>0</v>
      </c>
      <c r="CA60" s="1" t="s">
        <v>1</v>
      </c>
      <c r="CB60" s="7">
        <v>3</v>
      </c>
      <c r="CC60" s="9" t="str">
        <f t="shared" ref="CC60:CC64" si="225">IF(ISBLANK($G60)=TRUE,"",IF(SIGN(BZ60-CB60)=SIGN($G60-$I60),1,0)+IF(BZ60=$G60,IF(CB60=$I60,2,0),0))</f>
        <v/>
      </c>
      <c r="CD60" s="3">
        <v>0</v>
      </c>
      <c r="CE60" s="1" t="s">
        <v>1</v>
      </c>
      <c r="CF60" s="7">
        <v>3</v>
      </c>
      <c r="CG60" s="9" t="str">
        <f t="shared" ref="CG60:CG64" si="226">IF(ISBLANK($G60)=TRUE,"",IF(SIGN(CD60-CF60)=SIGN($G60-$I60),1,0)+IF(CD60=$G60,IF(CF60=$I60,2,0),0))</f>
        <v/>
      </c>
      <c r="CH60" s="3">
        <v>0</v>
      </c>
      <c r="CI60" s="1" t="s">
        <v>1</v>
      </c>
      <c r="CJ60" s="7">
        <v>3</v>
      </c>
      <c r="CK60" s="9" t="str">
        <f t="shared" ref="CK60:CK64" si="227">IF(ISBLANK($G60)=TRUE,"",IF(SIGN(CH60-CJ60)=SIGN($G60-$I60),1,0)+IF(CH60=$G60,IF(CJ60=$I60,2,0),0))</f>
        <v/>
      </c>
      <c r="CL60" s="3">
        <v>1</v>
      </c>
      <c r="CM60" s="1" t="s">
        <v>1</v>
      </c>
      <c r="CN60" s="7">
        <v>2</v>
      </c>
      <c r="CO60" s="9" t="str">
        <f t="shared" ref="CO60:CO64" si="228">IF(ISBLANK($G60)=TRUE,"",IF(SIGN(CL60-CN60)=SIGN($G60-$I60),1,0)+IF(CL60=$G60,IF(CN60=$I60,2,0),0))</f>
        <v/>
      </c>
      <c r="CP60" s="3">
        <v>0</v>
      </c>
      <c r="CQ60" s="1" t="s">
        <v>1</v>
      </c>
      <c r="CR60" s="7">
        <v>4</v>
      </c>
      <c r="CS60" s="9" t="str">
        <f t="shared" ref="CS60:CS64" si="229">IF(ISBLANK($G60)=TRUE,"",IF(SIGN(CP60-CR60)=SIGN($G60-$I60),1,0)+IF(CP60=$G60,IF(CR60=$I60,2,0),0))</f>
        <v/>
      </c>
      <c r="CT60" s="3">
        <v>0</v>
      </c>
      <c r="CU60" s="1" t="s">
        <v>1</v>
      </c>
      <c r="CV60" s="7">
        <v>3</v>
      </c>
      <c r="CW60" s="9" t="str">
        <f t="shared" ref="CW60:CW64" si="230">IF(ISBLANK($G60)=TRUE,"",IF(SIGN(CT60-CV60)=SIGN($G60-$I60),1,0)+IF(CT60=$G60,IF(CV60=$I60,2,0),0))</f>
        <v/>
      </c>
      <c r="CX60" s="3">
        <v>2</v>
      </c>
      <c r="CY60" s="1" t="s">
        <v>1</v>
      </c>
      <c r="CZ60" s="7">
        <v>0</v>
      </c>
      <c r="DA60" s="9" t="str">
        <f t="shared" ref="DA60:DA64" si="231">IF(ISBLANK($G60)=TRUE,"",IF(SIGN(CX60-CZ60)=SIGN($G60-$I60),1,0)+IF(CX60=$G60,IF(CZ60=$I60,2,0),0))</f>
        <v/>
      </c>
      <c r="DB60" s="3">
        <v>1</v>
      </c>
      <c r="DC60" s="1" t="s">
        <v>1</v>
      </c>
      <c r="DD60" s="7">
        <v>3</v>
      </c>
      <c r="DE60" s="9" t="str">
        <f t="shared" ref="DE60:DE64" si="232">IF(ISBLANK($G60)=TRUE,"",IF(SIGN(DB60-DD60)=SIGN($G60-$I60),1,0)+IF(DB60=$G60,IF(DD60=$I60,2,0),0))</f>
        <v/>
      </c>
      <c r="DF60" s="3">
        <v>0</v>
      </c>
      <c r="DG60" s="1" t="s">
        <v>1</v>
      </c>
      <c r="DH60" s="7">
        <v>1</v>
      </c>
      <c r="DI60" s="9" t="str">
        <f t="shared" ref="DI60:DI64" si="233">IF(ISBLANK($G60)=TRUE,"",IF(SIGN(DF60-DH60)=SIGN($G60-$I60),1,0)+IF(DF60=$G60,IF(DH60=$I60,2,0),0))</f>
        <v/>
      </c>
    </row>
    <row r="61" spans="2:113" x14ac:dyDescent="0.3">
      <c r="B61" s="12">
        <v>46195</v>
      </c>
      <c r="C61" s="7" t="s">
        <v>75</v>
      </c>
      <c r="D61" s="3" t="s">
        <v>44</v>
      </c>
      <c r="E61" s="1" t="s">
        <v>1</v>
      </c>
      <c r="F61" s="5" t="s">
        <v>46</v>
      </c>
      <c r="G61" s="3"/>
      <c r="H61" s="1" t="s">
        <v>1</v>
      </c>
      <c r="I61" s="5"/>
      <c r="J61" s="3">
        <v>2</v>
      </c>
      <c r="K61" s="1" t="s">
        <v>1</v>
      </c>
      <c r="L61" s="7">
        <v>0</v>
      </c>
      <c r="M61" s="9" t="str">
        <f t="shared" si="208"/>
        <v/>
      </c>
      <c r="N61" s="3">
        <v>2</v>
      </c>
      <c r="O61" s="1" t="s">
        <v>1</v>
      </c>
      <c r="P61" s="7">
        <v>0</v>
      </c>
      <c r="Q61" s="9" t="str">
        <f t="shared" si="209"/>
        <v/>
      </c>
      <c r="R61" s="3">
        <v>3</v>
      </c>
      <c r="S61" s="1" t="s">
        <v>1</v>
      </c>
      <c r="T61" s="7">
        <v>0</v>
      </c>
      <c r="U61" s="9" t="str">
        <f t="shared" si="210"/>
        <v/>
      </c>
      <c r="V61" s="3">
        <v>3</v>
      </c>
      <c r="W61" s="1" t="s">
        <v>1</v>
      </c>
      <c r="X61" s="7">
        <v>0</v>
      </c>
      <c r="Y61" s="9" t="str">
        <f t="shared" si="211"/>
        <v/>
      </c>
      <c r="Z61" s="3">
        <v>3</v>
      </c>
      <c r="AA61" s="1" t="s">
        <v>1</v>
      </c>
      <c r="AB61" s="7">
        <v>0</v>
      </c>
      <c r="AC61" s="9" t="str">
        <f t="shared" si="212"/>
        <v/>
      </c>
      <c r="AD61" s="3">
        <v>3</v>
      </c>
      <c r="AE61" s="1" t="s">
        <v>1</v>
      </c>
      <c r="AF61" s="7">
        <v>0</v>
      </c>
      <c r="AG61" s="9" t="str">
        <f t="shared" si="213"/>
        <v/>
      </c>
      <c r="AH61" s="3">
        <v>3</v>
      </c>
      <c r="AI61" s="1" t="s">
        <v>1</v>
      </c>
      <c r="AJ61" s="7">
        <v>0</v>
      </c>
      <c r="AK61" s="9" t="str">
        <f t="shared" si="214"/>
        <v/>
      </c>
      <c r="AL61" s="3">
        <v>2</v>
      </c>
      <c r="AM61" s="1" t="s">
        <v>1</v>
      </c>
      <c r="AN61" s="7">
        <v>0</v>
      </c>
      <c r="AO61" s="9" t="str">
        <f t="shared" si="215"/>
        <v/>
      </c>
      <c r="AP61" s="3">
        <v>2</v>
      </c>
      <c r="AQ61" s="1" t="s">
        <v>1</v>
      </c>
      <c r="AR61" s="7">
        <v>0</v>
      </c>
      <c r="AS61" s="9" t="str">
        <f t="shared" si="216"/>
        <v/>
      </c>
      <c r="AT61" s="3">
        <v>2</v>
      </c>
      <c r="AU61" s="1" t="s">
        <v>1</v>
      </c>
      <c r="AV61" s="7">
        <v>0</v>
      </c>
      <c r="AW61" s="9" t="str">
        <f t="shared" si="217"/>
        <v/>
      </c>
      <c r="AX61" s="3">
        <v>2</v>
      </c>
      <c r="AY61" s="1" t="s">
        <v>1</v>
      </c>
      <c r="AZ61" s="7">
        <v>0</v>
      </c>
      <c r="BA61" s="9" t="str">
        <f t="shared" si="218"/>
        <v/>
      </c>
      <c r="BB61" s="3">
        <v>3</v>
      </c>
      <c r="BC61" s="1" t="s">
        <v>1</v>
      </c>
      <c r="BD61" s="7">
        <v>0</v>
      </c>
      <c r="BE61" s="9" t="str">
        <f t="shared" si="219"/>
        <v/>
      </c>
      <c r="BF61" s="3">
        <v>3</v>
      </c>
      <c r="BG61" s="1" t="s">
        <v>1</v>
      </c>
      <c r="BH61" s="7">
        <v>0</v>
      </c>
      <c r="BI61" s="9" t="str">
        <f t="shared" si="220"/>
        <v/>
      </c>
      <c r="BJ61" s="3">
        <v>2</v>
      </c>
      <c r="BK61" s="1" t="s">
        <v>1</v>
      </c>
      <c r="BL61" s="7">
        <v>0</v>
      </c>
      <c r="BM61" s="9" t="str">
        <f t="shared" si="221"/>
        <v/>
      </c>
      <c r="BN61" s="3">
        <v>3</v>
      </c>
      <c r="BO61" s="1" t="s">
        <v>1</v>
      </c>
      <c r="BP61" s="7">
        <v>0</v>
      </c>
      <c r="BQ61" s="9" t="str">
        <f t="shared" si="222"/>
        <v/>
      </c>
      <c r="BR61" s="3">
        <v>3</v>
      </c>
      <c r="BS61" s="1" t="s">
        <v>1</v>
      </c>
      <c r="BT61" s="7">
        <v>0</v>
      </c>
      <c r="BU61" s="9" t="str">
        <f t="shared" si="223"/>
        <v/>
      </c>
      <c r="BV61" s="3">
        <v>4</v>
      </c>
      <c r="BW61" s="1" t="s">
        <v>1</v>
      </c>
      <c r="BX61" s="7">
        <v>0</v>
      </c>
      <c r="BY61" s="9" t="str">
        <f t="shared" si="224"/>
        <v/>
      </c>
      <c r="BZ61" s="3">
        <v>3</v>
      </c>
      <c r="CA61" s="1" t="s">
        <v>1</v>
      </c>
      <c r="CB61" s="7">
        <v>0</v>
      </c>
      <c r="CC61" s="9" t="str">
        <f t="shared" si="225"/>
        <v/>
      </c>
      <c r="CD61" s="3">
        <v>3</v>
      </c>
      <c r="CE61" s="1" t="s">
        <v>1</v>
      </c>
      <c r="CF61" s="7">
        <v>0</v>
      </c>
      <c r="CG61" s="9" t="str">
        <f t="shared" si="226"/>
        <v/>
      </c>
      <c r="CH61" s="3">
        <v>4</v>
      </c>
      <c r="CI61" s="1" t="s">
        <v>1</v>
      </c>
      <c r="CJ61" s="7">
        <v>0</v>
      </c>
      <c r="CK61" s="9" t="str">
        <f t="shared" si="227"/>
        <v/>
      </c>
      <c r="CL61" s="3">
        <v>3</v>
      </c>
      <c r="CM61" s="1" t="s">
        <v>1</v>
      </c>
      <c r="CN61" s="7">
        <v>0</v>
      </c>
      <c r="CO61" s="9" t="str">
        <f t="shared" si="228"/>
        <v/>
      </c>
      <c r="CP61" s="3">
        <v>4</v>
      </c>
      <c r="CQ61" s="1" t="s">
        <v>1</v>
      </c>
      <c r="CR61" s="7">
        <v>0</v>
      </c>
      <c r="CS61" s="9" t="str">
        <f t="shared" si="229"/>
        <v/>
      </c>
      <c r="CT61" s="3">
        <v>4</v>
      </c>
      <c r="CU61" s="1" t="s">
        <v>1</v>
      </c>
      <c r="CV61" s="7">
        <v>0</v>
      </c>
      <c r="CW61" s="9" t="str">
        <f t="shared" si="230"/>
        <v/>
      </c>
      <c r="CX61" s="3">
        <v>3</v>
      </c>
      <c r="CY61" s="1" t="s">
        <v>1</v>
      </c>
      <c r="CZ61" s="7">
        <v>0</v>
      </c>
      <c r="DA61" s="9" t="str">
        <f t="shared" si="231"/>
        <v/>
      </c>
      <c r="DB61" s="3">
        <v>5</v>
      </c>
      <c r="DC61" s="1" t="s">
        <v>1</v>
      </c>
      <c r="DD61" s="7">
        <v>0</v>
      </c>
      <c r="DE61" s="9" t="str">
        <f t="shared" si="232"/>
        <v/>
      </c>
      <c r="DF61" s="3">
        <v>3</v>
      </c>
      <c r="DG61" s="1" t="s">
        <v>1</v>
      </c>
      <c r="DH61" s="7">
        <v>1</v>
      </c>
      <c r="DI61" s="9" t="str">
        <f t="shared" si="233"/>
        <v/>
      </c>
    </row>
    <row r="62" spans="2:113" x14ac:dyDescent="0.3">
      <c r="B62" s="12">
        <v>46196</v>
      </c>
      <c r="C62" s="7" t="s">
        <v>74</v>
      </c>
      <c r="D62" s="3" t="s">
        <v>47</v>
      </c>
      <c r="E62" s="1" t="s">
        <v>1</v>
      </c>
      <c r="F62" s="5" t="s">
        <v>45</v>
      </c>
      <c r="G62" s="3"/>
      <c r="H62" s="1" t="s">
        <v>1</v>
      </c>
      <c r="I62" s="5"/>
      <c r="J62" s="3">
        <v>1</v>
      </c>
      <c r="K62" s="1" t="s">
        <v>1</v>
      </c>
      <c r="L62" s="7">
        <v>1</v>
      </c>
      <c r="M62" s="9" t="str">
        <f t="shared" si="208"/>
        <v/>
      </c>
      <c r="N62" s="3">
        <v>1</v>
      </c>
      <c r="O62" s="1" t="s">
        <v>1</v>
      </c>
      <c r="P62" s="7">
        <v>1</v>
      </c>
      <c r="Q62" s="9" t="str">
        <f t="shared" si="209"/>
        <v/>
      </c>
      <c r="R62" s="3">
        <v>3</v>
      </c>
      <c r="S62" s="1" t="s">
        <v>1</v>
      </c>
      <c r="T62" s="7">
        <v>1</v>
      </c>
      <c r="U62" s="9" t="str">
        <f t="shared" si="210"/>
        <v/>
      </c>
      <c r="V62" s="3">
        <v>2</v>
      </c>
      <c r="W62" s="1" t="s">
        <v>1</v>
      </c>
      <c r="X62" s="7">
        <v>2</v>
      </c>
      <c r="Y62" s="9" t="str">
        <f t="shared" si="211"/>
        <v/>
      </c>
      <c r="Z62" s="3">
        <v>1</v>
      </c>
      <c r="AA62" s="1" t="s">
        <v>1</v>
      </c>
      <c r="AB62" s="7">
        <v>1</v>
      </c>
      <c r="AC62" s="9" t="str">
        <f t="shared" si="212"/>
        <v/>
      </c>
      <c r="AD62" s="3">
        <v>2</v>
      </c>
      <c r="AE62" s="1" t="s">
        <v>1</v>
      </c>
      <c r="AF62" s="7">
        <v>1</v>
      </c>
      <c r="AG62" s="9" t="str">
        <f t="shared" si="213"/>
        <v/>
      </c>
      <c r="AH62" s="3">
        <v>1</v>
      </c>
      <c r="AI62" s="1" t="s">
        <v>1</v>
      </c>
      <c r="AJ62" s="7">
        <v>1</v>
      </c>
      <c r="AK62" s="9" t="str">
        <f t="shared" si="214"/>
        <v/>
      </c>
      <c r="AL62" s="3">
        <v>1</v>
      </c>
      <c r="AM62" s="1" t="s">
        <v>1</v>
      </c>
      <c r="AN62" s="7">
        <v>0</v>
      </c>
      <c r="AO62" s="9" t="str">
        <f t="shared" si="215"/>
        <v/>
      </c>
      <c r="AP62" s="3">
        <v>1</v>
      </c>
      <c r="AQ62" s="1" t="s">
        <v>1</v>
      </c>
      <c r="AR62" s="7">
        <v>0</v>
      </c>
      <c r="AS62" s="9" t="str">
        <f t="shared" si="216"/>
        <v/>
      </c>
      <c r="AT62" s="3">
        <v>1</v>
      </c>
      <c r="AU62" s="1" t="s">
        <v>1</v>
      </c>
      <c r="AV62" s="7">
        <v>0</v>
      </c>
      <c r="AW62" s="9" t="str">
        <f t="shared" si="217"/>
        <v/>
      </c>
      <c r="AX62" s="3">
        <v>1</v>
      </c>
      <c r="AY62" s="1" t="s">
        <v>1</v>
      </c>
      <c r="AZ62" s="7">
        <v>0</v>
      </c>
      <c r="BA62" s="9" t="str">
        <f t="shared" si="218"/>
        <v/>
      </c>
      <c r="BB62" s="3">
        <v>1</v>
      </c>
      <c r="BC62" s="1" t="s">
        <v>1</v>
      </c>
      <c r="BD62" s="7">
        <v>1</v>
      </c>
      <c r="BE62" s="9" t="str">
        <f t="shared" si="219"/>
        <v/>
      </c>
      <c r="BF62" s="3">
        <v>1</v>
      </c>
      <c r="BG62" s="1" t="s">
        <v>1</v>
      </c>
      <c r="BH62" s="7">
        <v>1</v>
      </c>
      <c r="BI62" s="9" t="str">
        <f t="shared" si="220"/>
        <v/>
      </c>
      <c r="BJ62" s="3">
        <v>1</v>
      </c>
      <c r="BK62" s="1" t="s">
        <v>1</v>
      </c>
      <c r="BL62" s="7">
        <v>1</v>
      </c>
      <c r="BM62" s="9" t="str">
        <f t="shared" si="221"/>
        <v/>
      </c>
      <c r="BN62" s="3">
        <v>1</v>
      </c>
      <c r="BO62" s="1" t="s">
        <v>1</v>
      </c>
      <c r="BP62" s="7">
        <v>0</v>
      </c>
      <c r="BQ62" s="9" t="str">
        <f t="shared" si="222"/>
        <v/>
      </c>
      <c r="BR62" s="3">
        <v>1</v>
      </c>
      <c r="BS62" s="1" t="s">
        <v>1</v>
      </c>
      <c r="BT62" s="7">
        <v>2</v>
      </c>
      <c r="BU62" s="9" t="str">
        <f t="shared" si="223"/>
        <v/>
      </c>
      <c r="BV62" s="3">
        <v>1</v>
      </c>
      <c r="BW62" s="1" t="s">
        <v>1</v>
      </c>
      <c r="BX62" s="7">
        <v>1</v>
      </c>
      <c r="BY62" s="9" t="str">
        <f t="shared" si="224"/>
        <v/>
      </c>
      <c r="BZ62" s="3">
        <v>2</v>
      </c>
      <c r="CA62" s="1" t="s">
        <v>1</v>
      </c>
      <c r="CB62" s="7">
        <v>1</v>
      </c>
      <c r="CC62" s="9" t="str">
        <f t="shared" si="225"/>
        <v/>
      </c>
      <c r="CD62" s="3">
        <v>2</v>
      </c>
      <c r="CE62" s="1" t="s">
        <v>1</v>
      </c>
      <c r="CF62" s="7">
        <v>1</v>
      </c>
      <c r="CG62" s="9" t="str">
        <f t="shared" si="226"/>
        <v/>
      </c>
      <c r="CH62" s="3">
        <v>2</v>
      </c>
      <c r="CI62" s="1" t="s">
        <v>1</v>
      </c>
      <c r="CJ62" s="7">
        <v>1</v>
      </c>
      <c r="CK62" s="9" t="str">
        <f t="shared" si="227"/>
        <v/>
      </c>
      <c r="CL62" s="3">
        <v>2</v>
      </c>
      <c r="CM62" s="1" t="s">
        <v>1</v>
      </c>
      <c r="CN62" s="7">
        <v>1</v>
      </c>
      <c r="CO62" s="9" t="str">
        <f t="shared" si="228"/>
        <v/>
      </c>
      <c r="CP62" s="3">
        <v>3</v>
      </c>
      <c r="CQ62" s="1" t="s">
        <v>1</v>
      </c>
      <c r="CR62" s="7">
        <v>2</v>
      </c>
      <c r="CS62" s="9" t="str">
        <f t="shared" si="229"/>
        <v/>
      </c>
      <c r="CT62" s="3">
        <v>1</v>
      </c>
      <c r="CU62" s="1" t="s">
        <v>1</v>
      </c>
      <c r="CV62" s="7">
        <v>1</v>
      </c>
      <c r="CW62" s="9" t="str">
        <f t="shared" si="230"/>
        <v/>
      </c>
      <c r="CX62" s="3">
        <v>1</v>
      </c>
      <c r="CY62" s="1" t="s">
        <v>1</v>
      </c>
      <c r="CZ62" s="7">
        <v>0</v>
      </c>
      <c r="DA62" s="9" t="str">
        <f t="shared" si="231"/>
        <v/>
      </c>
      <c r="DB62" s="3">
        <v>2</v>
      </c>
      <c r="DC62" s="1" t="s">
        <v>1</v>
      </c>
      <c r="DD62" s="7">
        <v>1</v>
      </c>
      <c r="DE62" s="9" t="str">
        <f t="shared" si="232"/>
        <v/>
      </c>
      <c r="DF62" s="3">
        <v>2</v>
      </c>
      <c r="DG62" s="1" t="s">
        <v>1</v>
      </c>
      <c r="DH62" s="7">
        <v>2</v>
      </c>
      <c r="DI62" s="9" t="str">
        <f t="shared" si="233"/>
        <v/>
      </c>
    </row>
    <row r="63" spans="2:113" x14ac:dyDescent="0.3">
      <c r="B63" s="12">
        <v>46199</v>
      </c>
      <c r="C63" s="7" t="s">
        <v>63</v>
      </c>
      <c r="D63" s="3" t="s">
        <v>47</v>
      </c>
      <c r="E63" s="1" t="s">
        <v>1</v>
      </c>
      <c r="F63" s="5" t="s">
        <v>44</v>
      </c>
      <c r="G63" s="3"/>
      <c r="H63" s="1" t="s">
        <v>1</v>
      </c>
      <c r="I63" s="5"/>
      <c r="J63" s="3">
        <v>1</v>
      </c>
      <c r="K63" s="1" t="s">
        <v>1</v>
      </c>
      <c r="L63" s="7">
        <v>2</v>
      </c>
      <c r="M63" s="9" t="str">
        <f t="shared" si="208"/>
        <v/>
      </c>
      <c r="N63" s="3">
        <v>1</v>
      </c>
      <c r="O63" s="1" t="s">
        <v>1</v>
      </c>
      <c r="P63" s="7">
        <v>2</v>
      </c>
      <c r="Q63" s="9" t="str">
        <f t="shared" si="209"/>
        <v/>
      </c>
      <c r="R63" s="3">
        <v>2</v>
      </c>
      <c r="S63" s="1" t="s">
        <v>1</v>
      </c>
      <c r="T63" s="7">
        <v>1</v>
      </c>
      <c r="U63" s="9" t="str">
        <f t="shared" si="210"/>
        <v/>
      </c>
      <c r="V63" s="3">
        <v>1</v>
      </c>
      <c r="W63" s="1" t="s">
        <v>1</v>
      </c>
      <c r="X63" s="7">
        <v>1</v>
      </c>
      <c r="Y63" s="9" t="str">
        <f t="shared" si="211"/>
        <v/>
      </c>
      <c r="Z63" s="3">
        <v>1</v>
      </c>
      <c r="AA63" s="1" t="s">
        <v>1</v>
      </c>
      <c r="AB63" s="7">
        <v>1</v>
      </c>
      <c r="AC63" s="9" t="str">
        <f t="shared" si="212"/>
        <v/>
      </c>
      <c r="AD63" s="3">
        <v>3</v>
      </c>
      <c r="AE63" s="1" t="s">
        <v>1</v>
      </c>
      <c r="AF63" s="7">
        <v>2</v>
      </c>
      <c r="AG63" s="9" t="str">
        <f t="shared" si="213"/>
        <v/>
      </c>
      <c r="AH63" s="3">
        <v>1</v>
      </c>
      <c r="AI63" s="1" t="s">
        <v>1</v>
      </c>
      <c r="AJ63" s="7">
        <v>1</v>
      </c>
      <c r="AK63" s="9" t="str">
        <f t="shared" si="214"/>
        <v/>
      </c>
      <c r="AL63" s="3">
        <v>0</v>
      </c>
      <c r="AM63" s="1" t="s">
        <v>1</v>
      </c>
      <c r="AN63" s="7">
        <v>1</v>
      </c>
      <c r="AO63" s="9" t="str">
        <f t="shared" si="215"/>
        <v/>
      </c>
      <c r="AP63" s="3">
        <v>1</v>
      </c>
      <c r="AQ63" s="1" t="s">
        <v>1</v>
      </c>
      <c r="AR63" s="7">
        <v>1</v>
      </c>
      <c r="AS63" s="9" t="str">
        <f t="shared" si="216"/>
        <v/>
      </c>
      <c r="AT63" s="3">
        <v>0</v>
      </c>
      <c r="AU63" s="1" t="s">
        <v>1</v>
      </c>
      <c r="AV63" s="7">
        <v>2</v>
      </c>
      <c r="AW63" s="9" t="str">
        <f t="shared" si="217"/>
        <v/>
      </c>
      <c r="AX63" s="3">
        <v>0</v>
      </c>
      <c r="AY63" s="1" t="s">
        <v>1</v>
      </c>
      <c r="AZ63" s="7">
        <v>2</v>
      </c>
      <c r="BA63" s="9" t="str">
        <f t="shared" si="218"/>
        <v/>
      </c>
      <c r="BB63" s="3">
        <v>1</v>
      </c>
      <c r="BC63" s="1" t="s">
        <v>1</v>
      </c>
      <c r="BD63" s="7">
        <v>1</v>
      </c>
      <c r="BE63" s="9" t="str">
        <f t="shared" si="219"/>
        <v/>
      </c>
      <c r="BF63" s="3">
        <v>2</v>
      </c>
      <c r="BG63" s="1" t="s">
        <v>1</v>
      </c>
      <c r="BH63" s="7">
        <v>1</v>
      </c>
      <c r="BI63" s="9" t="str">
        <f t="shared" si="220"/>
        <v/>
      </c>
      <c r="BJ63" s="3">
        <v>0</v>
      </c>
      <c r="BK63" s="1" t="s">
        <v>1</v>
      </c>
      <c r="BL63" s="7">
        <v>2</v>
      </c>
      <c r="BM63" s="9" t="str">
        <f t="shared" si="221"/>
        <v/>
      </c>
      <c r="BN63" s="3">
        <v>0</v>
      </c>
      <c r="BO63" s="1" t="s">
        <v>1</v>
      </c>
      <c r="BP63" s="7">
        <v>2</v>
      </c>
      <c r="BQ63" s="9" t="str">
        <f t="shared" si="222"/>
        <v/>
      </c>
      <c r="BR63" s="3">
        <v>2</v>
      </c>
      <c r="BS63" s="1" t="s">
        <v>1</v>
      </c>
      <c r="BT63" s="7">
        <v>2</v>
      </c>
      <c r="BU63" s="9" t="str">
        <f t="shared" si="223"/>
        <v/>
      </c>
      <c r="BV63" s="3">
        <v>1</v>
      </c>
      <c r="BW63" s="1" t="s">
        <v>1</v>
      </c>
      <c r="BX63" s="7">
        <v>1</v>
      </c>
      <c r="BY63" s="9" t="str">
        <f t="shared" si="224"/>
        <v/>
      </c>
      <c r="BZ63" s="3">
        <v>1</v>
      </c>
      <c r="CA63" s="1" t="s">
        <v>1</v>
      </c>
      <c r="CB63" s="7">
        <v>0</v>
      </c>
      <c r="CC63" s="9" t="str">
        <f t="shared" si="225"/>
        <v/>
      </c>
      <c r="CD63" s="3">
        <v>1</v>
      </c>
      <c r="CE63" s="1" t="s">
        <v>1</v>
      </c>
      <c r="CF63" s="7">
        <v>2</v>
      </c>
      <c r="CG63" s="9" t="str">
        <f t="shared" si="226"/>
        <v/>
      </c>
      <c r="CH63" s="3">
        <v>1</v>
      </c>
      <c r="CI63" s="1" t="s">
        <v>1</v>
      </c>
      <c r="CJ63" s="7">
        <v>1</v>
      </c>
      <c r="CK63" s="9" t="str">
        <f t="shared" si="227"/>
        <v/>
      </c>
      <c r="CL63" s="3">
        <v>1</v>
      </c>
      <c r="CM63" s="1" t="s">
        <v>1</v>
      </c>
      <c r="CN63" s="7">
        <v>2</v>
      </c>
      <c r="CO63" s="9" t="str">
        <f t="shared" si="228"/>
        <v/>
      </c>
      <c r="CP63" s="3">
        <v>2</v>
      </c>
      <c r="CQ63" s="1" t="s">
        <v>1</v>
      </c>
      <c r="CR63" s="7">
        <v>2</v>
      </c>
      <c r="CS63" s="9" t="str">
        <f t="shared" si="229"/>
        <v/>
      </c>
      <c r="CT63" s="3">
        <v>1</v>
      </c>
      <c r="CU63" s="1" t="s">
        <v>1</v>
      </c>
      <c r="CV63" s="7">
        <v>1</v>
      </c>
      <c r="CW63" s="9" t="str">
        <f t="shared" si="230"/>
        <v/>
      </c>
      <c r="CX63" s="3">
        <v>1</v>
      </c>
      <c r="CY63" s="1" t="s">
        <v>1</v>
      </c>
      <c r="CZ63" s="7">
        <v>0</v>
      </c>
      <c r="DA63" s="9" t="str">
        <f t="shared" si="231"/>
        <v/>
      </c>
      <c r="DB63" s="3">
        <v>2</v>
      </c>
      <c r="DC63" s="1" t="s">
        <v>1</v>
      </c>
      <c r="DD63" s="7">
        <v>2</v>
      </c>
      <c r="DE63" s="9" t="str">
        <f t="shared" si="232"/>
        <v/>
      </c>
      <c r="DF63" s="3">
        <v>1</v>
      </c>
      <c r="DG63" s="1" t="s">
        <v>1</v>
      </c>
      <c r="DH63" s="7">
        <v>2</v>
      </c>
      <c r="DI63" s="9" t="str">
        <f t="shared" si="233"/>
        <v/>
      </c>
    </row>
    <row r="64" spans="2:113" ht="15" thickBot="1" x14ac:dyDescent="0.35">
      <c r="B64" s="13">
        <v>46199</v>
      </c>
      <c r="C64" s="8" t="s">
        <v>63</v>
      </c>
      <c r="D64" s="4" t="s">
        <v>45</v>
      </c>
      <c r="E64" s="2" t="s">
        <v>1</v>
      </c>
      <c r="F64" s="6" t="s">
        <v>46</v>
      </c>
      <c r="G64" s="4"/>
      <c r="H64" s="2" t="s">
        <v>1</v>
      </c>
      <c r="I64" s="6"/>
      <c r="J64" s="4">
        <v>2</v>
      </c>
      <c r="K64" s="2" t="s">
        <v>1</v>
      </c>
      <c r="L64" s="8">
        <v>1</v>
      </c>
      <c r="M64" s="10" t="str">
        <f t="shared" si="208"/>
        <v/>
      </c>
      <c r="N64" s="4">
        <v>2</v>
      </c>
      <c r="O64" s="2" t="s">
        <v>1</v>
      </c>
      <c r="P64" s="8">
        <v>0</v>
      </c>
      <c r="Q64" s="10" t="str">
        <f t="shared" si="209"/>
        <v/>
      </c>
      <c r="R64" s="4">
        <v>2</v>
      </c>
      <c r="S64" s="2" t="s">
        <v>1</v>
      </c>
      <c r="T64" s="8">
        <v>0</v>
      </c>
      <c r="U64" s="10" t="str">
        <f t="shared" si="210"/>
        <v/>
      </c>
      <c r="V64" s="4">
        <v>3</v>
      </c>
      <c r="W64" s="2" t="s">
        <v>1</v>
      </c>
      <c r="X64" s="8">
        <v>1</v>
      </c>
      <c r="Y64" s="10" t="str">
        <f t="shared" si="211"/>
        <v/>
      </c>
      <c r="Z64" s="4">
        <v>2</v>
      </c>
      <c r="AA64" s="2" t="s">
        <v>1</v>
      </c>
      <c r="AB64" s="8">
        <v>0</v>
      </c>
      <c r="AC64" s="10" t="str">
        <f t="shared" si="212"/>
        <v/>
      </c>
      <c r="AD64" s="4">
        <v>2</v>
      </c>
      <c r="AE64" s="2" t="s">
        <v>1</v>
      </c>
      <c r="AF64" s="8">
        <v>1</v>
      </c>
      <c r="AG64" s="10" t="str">
        <f t="shared" si="213"/>
        <v/>
      </c>
      <c r="AH64" s="4">
        <v>2</v>
      </c>
      <c r="AI64" s="2" t="s">
        <v>1</v>
      </c>
      <c r="AJ64" s="8">
        <v>0</v>
      </c>
      <c r="AK64" s="10" t="str">
        <f t="shared" si="214"/>
        <v/>
      </c>
      <c r="AL64" s="4">
        <v>1</v>
      </c>
      <c r="AM64" s="2" t="s">
        <v>1</v>
      </c>
      <c r="AN64" s="8">
        <v>0</v>
      </c>
      <c r="AO64" s="10" t="str">
        <f t="shared" si="215"/>
        <v/>
      </c>
      <c r="AP64" s="4">
        <v>0</v>
      </c>
      <c r="AQ64" s="2" t="s">
        <v>1</v>
      </c>
      <c r="AR64" s="8">
        <v>0</v>
      </c>
      <c r="AS64" s="10" t="str">
        <f t="shared" si="216"/>
        <v/>
      </c>
      <c r="AT64" s="4">
        <v>3</v>
      </c>
      <c r="AU64" s="2" t="s">
        <v>1</v>
      </c>
      <c r="AV64" s="8">
        <v>1</v>
      </c>
      <c r="AW64" s="10" t="str">
        <f t="shared" si="217"/>
        <v/>
      </c>
      <c r="AX64" s="4">
        <v>2</v>
      </c>
      <c r="AY64" s="2" t="s">
        <v>1</v>
      </c>
      <c r="AZ64" s="8">
        <v>0</v>
      </c>
      <c r="BA64" s="10" t="str">
        <f t="shared" si="218"/>
        <v/>
      </c>
      <c r="BB64" s="4">
        <v>2</v>
      </c>
      <c r="BC64" s="2" t="s">
        <v>1</v>
      </c>
      <c r="BD64" s="8">
        <v>0</v>
      </c>
      <c r="BE64" s="10" t="str">
        <f t="shared" si="219"/>
        <v/>
      </c>
      <c r="BF64" s="4">
        <v>2</v>
      </c>
      <c r="BG64" s="2" t="s">
        <v>1</v>
      </c>
      <c r="BH64" s="8">
        <v>1</v>
      </c>
      <c r="BI64" s="10" t="str">
        <f t="shared" si="220"/>
        <v/>
      </c>
      <c r="BJ64" s="4">
        <v>2</v>
      </c>
      <c r="BK64" s="2" t="s">
        <v>1</v>
      </c>
      <c r="BL64" s="8">
        <v>0</v>
      </c>
      <c r="BM64" s="10" t="str">
        <f t="shared" si="221"/>
        <v/>
      </c>
      <c r="BN64" s="4">
        <v>2</v>
      </c>
      <c r="BO64" s="2" t="s">
        <v>1</v>
      </c>
      <c r="BP64" s="8">
        <v>1</v>
      </c>
      <c r="BQ64" s="10" t="str">
        <f t="shared" si="222"/>
        <v/>
      </c>
      <c r="BR64" s="4">
        <v>2</v>
      </c>
      <c r="BS64" s="2" t="s">
        <v>1</v>
      </c>
      <c r="BT64" s="8">
        <v>0</v>
      </c>
      <c r="BU64" s="10" t="str">
        <f t="shared" si="223"/>
        <v/>
      </c>
      <c r="BV64" s="4">
        <v>2</v>
      </c>
      <c r="BW64" s="2" t="s">
        <v>1</v>
      </c>
      <c r="BX64" s="8">
        <v>0</v>
      </c>
      <c r="BY64" s="10" t="str">
        <f t="shared" si="224"/>
        <v/>
      </c>
      <c r="BZ64" s="4">
        <v>2</v>
      </c>
      <c r="CA64" s="2" t="s">
        <v>1</v>
      </c>
      <c r="CB64" s="8">
        <v>0</v>
      </c>
      <c r="CC64" s="10" t="str">
        <f t="shared" si="225"/>
        <v/>
      </c>
      <c r="CD64" s="4">
        <v>3</v>
      </c>
      <c r="CE64" s="2" t="s">
        <v>1</v>
      </c>
      <c r="CF64" s="8">
        <v>0</v>
      </c>
      <c r="CG64" s="10" t="str">
        <f t="shared" si="226"/>
        <v/>
      </c>
      <c r="CH64" s="4">
        <v>2</v>
      </c>
      <c r="CI64" s="2" t="s">
        <v>1</v>
      </c>
      <c r="CJ64" s="8">
        <v>1</v>
      </c>
      <c r="CK64" s="10" t="str">
        <f t="shared" si="227"/>
        <v/>
      </c>
      <c r="CL64" s="4">
        <v>2</v>
      </c>
      <c r="CM64" s="2" t="s">
        <v>1</v>
      </c>
      <c r="CN64" s="8">
        <v>1</v>
      </c>
      <c r="CO64" s="10" t="str">
        <f t="shared" si="228"/>
        <v/>
      </c>
      <c r="CP64" s="4">
        <v>3</v>
      </c>
      <c r="CQ64" s="2" t="s">
        <v>1</v>
      </c>
      <c r="CR64" s="8">
        <v>1</v>
      </c>
      <c r="CS64" s="10" t="str">
        <f t="shared" si="229"/>
        <v/>
      </c>
      <c r="CT64" s="4">
        <v>2</v>
      </c>
      <c r="CU64" s="2" t="s">
        <v>1</v>
      </c>
      <c r="CV64" s="8">
        <v>0</v>
      </c>
      <c r="CW64" s="10" t="str">
        <f t="shared" si="230"/>
        <v/>
      </c>
      <c r="CX64" s="4">
        <v>2</v>
      </c>
      <c r="CY64" s="2" t="s">
        <v>1</v>
      </c>
      <c r="CZ64" s="8">
        <v>0</v>
      </c>
      <c r="DA64" s="10" t="str">
        <f t="shared" si="231"/>
        <v/>
      </c>
      <c r="DB64" s="4">
        <v>3</v>
      </c>
      <c r="DC64" s="2" t="s">
        <v>1</v>
      </c>
      <c r="DD64" s="8">
        <v>0</v>
      </c>
      <c r="DE64" s="10" t="str">
        <f t="shared" si="232"/>
        <v/>
      </c>
      <c r="DF64" s="4">
        <v>1</v>
      </c>
      <c r="DG64" s="2" t="s">
        <v>1</v>
      </c>
      <c r="DH64" s="8">
        <v>4</v>
      </c>
      <c r="DI64" s="10" t="str">
        <f t="shared" si="233"/>
        <v/>
      </c>
    </row>
    <row r="65" spans="2:113" ht="15" thickBot="1" x14ac:dyDescent="0.35">
      <c r="B65" s="51" t="s">
        <v>77</v>
      </c>
      <c r="C65" s="52" t="s">
        <v>78</v>
      </c>
      <c r="D65" s="157" t="s">
        <v>48</v>
      </c>
      <c r="E65" s="158"/>
      <c r="F65" s="159"/>
      <c r="G65" s="53" t="s">
        <v>7</v>
      </c>
      <c r="H65" s="54"/>
      <c r="I65" s="55"/>
      <c r="J65" s="61"/>
      <c r="K65" s="62"/>
      <c r="L65" s="62"/>
      <c r="M65" s="63"/>
      <c r="N65" s="64"/>
      <c r="O65" s="65"/>
      <c r="P65" s="65"/>
      <c r="Q65" s="66"/>
      <c r="R65" s="67"/>
      <c r="S65" s="68"/>
      <c r="T65" s="68"/>
      <c r="U65" s="69"/>
      <c r="V65" s="109"/>
      <c r="W65" s="110"/>
      <c r="X65" s="110"/>
      <c r="Y65" s="111"/>
      <c r="Z65" s="70"/>
      <c r="AA65" s="71"/>
      <c r="AB65" s="71"/>
      <c r="AC65" s="72"/>
      <c r="AD65" s="73"/>
      <c r="AE65" s="74"/>
      <c r="AF65" s="74"/>
      <c r="AG65" s="75"/>
      <c r="AH65" s="76"/>
      <c r="AI65" s="77"/>
      <c r="AJ65" s="77"/>
      <c r="AK65" s="78"/>
      <c r="AL65" s="79"/>
      <c r="AM65" s="80"/>
      <c r="AN65" s="80"/>
      <c r="AO65" s="81"/>
      <c r="AP65" s="41"/>
      <c r="AQ65" s="42"/>
      <c r="AR65" s="42"/>
      <c r="AS65" s="43"/>
      <c r="AT65" s="82"/>
      <c r="AU65" s="83"/>
      <c r="AV65" s="83"/>
      <c r="AW65" s="84"/>
      <c r="AX65" s="85"/>
      <c r="AY65" s="86"/>
      <c r="AZ65" s="86"/>
      <c r="BA65" s="87"/>
      <c r="BB65" s="88"/>
      <c r="BC65" s="89"/>
      <c r="BD65" s="89"/>
      <c r="BE65" s="90"/>
      <c r="BF65" s="91"/>
      <c r="BG65" s="92"/>
      <c r="BH65" s="92"/>
      <c r="BI65" s="93"/>
      <c r="BJ65" s="94"/>
      <c r="BK65" s="95"/>
      <c r="BL65" s="95"/>
      <c r="BM65" s="96"/>
      <c r="BN65" s="34"/>
      <c r="BO65" s="36"/>
      <c r="BP65" s="36"/>
      <c r="BQ65" s="35"/>
      <c r="BR65" s="79"/>
      <c r="BS65" s="80"/>
      <c r="BT65" s="80"/>
      <c r="BU65" s="81"/>
      <c r="BV65" s="97"/>
      <c r="BW65" s="98"/>
      <c r="BX65" s="98"/>
      <c r="BY65" s="99"/>
      <c r="BZ65" s="41"/>
      <c r="CA65" s="42"/>
      <c r="CB65" s="42"/>
      <c r="CC65" s="43"/>
      <c r="CD65" s="100"/>
      <c r="CE65" s="101"/>
      <c r="CF65" s="101"/>
      <c r="CG65" s="102"/>
      <c r="CH65" s="103"/>
      <c r="CI65" s="104"/>
      <c r="CJ65" s="104"/>
      <c r="CK65" s="105"/>
      <c r="CL65" s="109"/>
      <c r="CM65" s="110"/>
      <c r="CN65" s="110"/>
      <c r="CO65" s="111"/>
      <c r="CP65" s="106"/>
      <c r="CQ65" s="107"/>
      <c r="CR65" s="107"/>
      <c r="CS65" s="108"/>
      <c r="CT65" s="85"/>
      <c r="CU65" s="86"/>
      <c r="CV65" s="86"/>
      <c r="CW65" s="87"/>
      <c r="CX65" s="133"/>
      <c r="CY65" s="134"/>
      <c r="CZ65" s="134"/>
      <c r="DA65" s="135"/>
      <c r="DB65" s="137"/>
      <c r="DC65" s="138"/>
      <c r="DD65" s="138"/>
      <c r="DE65" s="139"/>
      <c r="DF65" s="53"/>
      <c r="DG65" s="54"/>
      <c r="DH65" s="54"/>
      <c r="DI65" s="55"/>
    </row>
    <row r="66" spans="2:113" x14ac:dyDescent="0.3">
      <c r="B66" s="12">
        <v>46190</v>
      </c>
      <c r="C66" s="7" t="s">
        <v>66</v>
      </c>
      <c r="D66" s="3" t="s">
        <v>49</v>
      </c>
      <c r="E66" s="1" t="s">
        <v>1</v>
      </c>
      <c r="F66" s="5" t="s">
        <v>50</v>
      </c>
      <c r="G66" s="3"/>
      <c r="H66" s="1" t="s">
        <v>1</v>
      </c>
      <c r="I66" s="5"/>
      <c r="J66" s="3">
        <v>2</v>
      </c>
      <c r="K66" s="1" t="s">
        <v>1</v>
      </c>
      <c r="L66" s="7">
        <v>1</v>
      </c>
      <c r="M66" s="11" t="str">
        <f>IF(ISBLANK($I66)=TRUE,"",IF(SIGN(J66-L66)=SIGN($G66-$I66),1,0)+IF(J66=$G66,IF(L66=$I66,2,0),0))</f>
        <v/>
      </c>
      <c r="N66" s="3">
        <v>3</v>
      </c>
      <c r="O66" s="1" t="s">
        <v>1</v>
      </c>
      <c r="P66" s="7">
        <v>0</v>
      </c>
      <c r="Q66" s="11" t="str">
        <f>IF(ISBLANK($I66)=TRUE,"",IF(SIGN(N66-P66)=SIGN($G66-$I66),1,0)+IF(N66=$G66,IF(P66=$I66,2,0),0))</f>
        <v/>
      </c>
      <c r="R66" s="3">
        <v>2</v>
      </c>
      <c r="S66" s="1" t="s">
        <v>1</v>
      </c>
      <c r="T66" s="7">
        <v>0</v>
      </c>
      <c r="U66" s="11" t="str">
        <f>IF(ISBLANK($I66)=TRUE,"",IF(SIGN(R66-T66)=SIGN($G66-$I66),1,0)+IF(R66=$G66,IF(T66=$I66,2,0),0))</f>
        <v/>
      </c>
      <c r="V66" s="3">
        <v>3</v>
      </c>
      <c r="W66" s="1" t="s">
        <v>1</v>
      </c>
      <c r="X66" s="7">
        <v>0</v>
      </c>
      <c r="Y66" s="11" t="str">
        <f>IF(ISBLANK($I66)=TRUE,"",IF(SIGN(V66-X66)=SIGN($G66-$I66),1,0)+IF(V66=$G66,IF(X66=$I66,2,0),0))</f>
        <v/>
      </c>
      <c r="Z66" s="3">
        <v>3</v>
      </c>
      <c r="AA66" s="1" t="s">
        <v>1</v>
      </c>
      <c r="AB66" s="7">
        <v>0</v>
      </c>
      <c r="AC66" s="11" t="str">
        <f>IF(ISBLANK($I66)=TRUE,"",IF(SIGN(Z66-AB66)=SIGN($G66-$I66),1,0)+IF(Z66=$G66,IF(AB66=$I66,2,0),0))</f>
        <v/>
      </c>
      <c r="AD66" s="3">
        <v>1</v>
      </c>
      <c r="AE66" s="1" t="s">
        <v>1</v>
      </c>
      <c r="AF66" s="7">
        <v>0</v>
      </c>
      <c r="AG66" s="11" t="str">
        <f>IF(ISBLANK($I66)=TRUE,"",IF(SIGN(AD66-AF66)=SIGN($G66-$I66),1,0)+IF(AD66=$G66,IF(AF66=$I66,2,0),0))</f>
        <v/>
      </c>
      <c r="AH66" s="3">
        <v>2</v>
      </c>
      <c r="AI66" s="1" t="s">
        <v>1</v>
      </c>
      <c r="AJ66" s="7">
        <v>0</v>
      </c>
      <c r="AK66" s="11" t="str">
        <f>IF(ISBLANK($I66)=TRUE,"",IF(SIGN(AH66-AJ66)=SIGN($G66-$I66),1,0)+IF(AH66=$G66,IF(AJ66=$I66,2,0),0))</f>
        <v/>
      </c>
      <c r="AL66" s="3">
        <v>1</v>
      </c>
      <c r="AM66" s="1" t="s">
        <v>1</v>
      </c>
      <c r="AN66" s="7">
        <v>0</v>
      </c>
      <c r="AO66" s="11" t="str">
        <f>IF(ISBLANK($I66)=TRUE,"",IF(SIGN(AL66-AN66)=SIGN($G66-$I66),1,0)+IF(AL66=$G66,IF(AN66=$I66,2,0),0))</f>
        <v/>
      </c>
      <c r="AP66" s="3">
        <v>3</v>
      </c>
      <c r="AQ66" s="1" t="s">
        <v>1</v>
      </c>
      <c r="AR66" s="7">
        <v>1</v>
      </c>
      <c r="AS66" s="11" t="str">
        <f>IF(ISBLANK($I66)=TRUE,"",IF(SIGN(AP66-AR66)=SIGN($G66-$I66),1,0)+IF(AP66=$G66,IF(AR66=$I66,2,0),0))</f>
        <v/>
      </c>
      <c r="AT66" s="3">
        <v>2</v>
      </c>
      <c r="AU66" s="1" t="s">
        <v>1</v>
      </c>
      <c r="AV66" s="7">
        <v>0</v>
      </c>
      <c r="AW66" s="11" t="str">
        <f>IF(ISBLANK($I66)=TRUE,"",IF(SIGN(AT66-AV66)=SIGN($G66-$I66),1,0)+IF(AT66=$G66,IF(AV66=$I66,2,0),0))</f>
        <v/>
      </c>
      <c r="AX66" s="3">
        <v>2</v>
      </c>
      <c r="AY66" s="1" t="s">
        <v>1</v>
      </c>
      <c r="AZ66" s="7">
        <v>0</v>
      </c>
      <c r="BA66" s="11" t="str">
        <f>IF(ISBLANK($I66)=TRUE,"",IF(SIGN(AX66-AZ66)=SIGN($G66-$I66),1,0)+IF(AX66=$G66,IF(AZ66=$I66,2,0),0))</f>
        <v/>
      </c>
      <c r="BB66" s="3">
        <v>2</v>
      </c>
      <c r="BC66" s="1" t="s">
        <v>1</v>
      </c>
      <c r="BD66" s="7">
        <v>1</v>
      </c>
      <c r="BE66" s="11" t="str">
        <f>IF(ISBLANK($I66)=TRUE,"",IF(SIGN(BB66-BD66)=SIGN($G66-$I66),1,0)+IF(BB66=$G66,IF(BD66=$I66,2,0),0))</f>
        <v/>
      </c>
      <c r="BF66" s="3">
        <v>2</v>
      </c>
      <c r="BG66" s="1" t="s">
        <v>1</v>
      </c>
      <c r="BH66" s="7">
        <v>0</v>
      </c>
      <c r="BI66" s="11" t="str">
        <f>IF(ISBLANK($I66)=TRUE,"",IF(SIGN(BF66-BH66)=SIGN($G66-$I66),1,0)+IF(BF66=$G66,IF(BH66=$I66,2,0),0))</f>
        <v/>
      </c>
      <c r="BJ66" s="3">
        <v>2</v>
      </c>
      <c r="BK66" s="1" t="s">
        <v>1</v>
      </c>
      <c r="BL66" s="7">
        <v>1</v>
      </c>
      <c r="BM66" s="11" t="str">
        <f>IF(ISBLANK($I66)=TRUE,"",IF(SIGN(BJ66-BL66)=SIGN($G66-$I66),1,0)+IF(BJ66=$G66,IF(BL66=$I66,2,0),0))</f>
        <v/>
      </c>
      <c r="BN66" s="3">
        <v>2</v>
      </c>
      <c r="BO66" s="1" t="s">
        <v>1</v>
      </c>
      <c r="BP66" s="7">
        <v>1</v>
      </c>
      <c r="BQ66" s="11" t="str">
        <f>IF(ISBLANK($I66)=TRUE,"",IF(SIGN(BN66-BP66)=SIGN($G66-$I66),1,0)+IF(BN66=$G66,IF(BP66=$I66,2,0),0))</f>
        <v/>
      </c>
      <c r="BR66" s="3">
        <v>1</v>
      </c>
      <c r="BS66" s="1" t="s">
        <v>1</v>
      </c>
      <c r="BT66" s="7">
        <v>0</v>
      </c>
      <c r="BU66" s="11" t="str">
        <f>IF(ISBLANK($I66)=TRUE,"",IF(SIGN(BR66-BT66)=SIGN($G66-$I66),1,0)+IF(BR66=$G66,IF(BT66=$I66,2,0),0))</f>
        <v/>
      </c>
      <c r="BV66" s="3">
        <v>2</v>
      </c>
      <c r="BW66" s="1" t="s">
        <v>1</v>
      </c>
      <c r="BX66" s="7">
        <v>1</v>
      </c>
      <c r="BY66" s="11" t="str">
        <f>IF(ISBLANK($I66)=TRUE,"",IF(SIGN(BV66-BX66)=SIGN($G66-$I66),1,0)+IF(BV66=$G66,IF(BX66=$I66,2,0),0))</f>
        <v/>
      </c>
      <c r="BZ66" s="3">
        <v>3</v>
      </c>
      <c r="CA66" s="1" t="s">
        <v>1</v>
      </c>
      <c r="CB66" s="7">
        <v>1</v>
      </c>
      <c r="CC66" s="11" t="str">
        <f>IF(ISBLANK($I66)=TRUE,"",IF(SIGN(BZ66-CB66)=SIGN($G66-$I66),1,0)+IF(BZ66=$G66,IF(CB66=$I66,2,0),0))</f>
        <v/>
      </c>
      <c r="CD66" s="3">
        <v>3</v>
      </c>
      <c r="CE66" s="1" t="s">
        <v>1</v>
      </c>
      <c r="CF66" s="7">
        <v>1</v>
      </c>
      <c r="CG66" s="11" t="str">
        <f>IF(ISBLANK($I66)=TRUE,"",IF(SIGN(CD66-CF66)=SIGN($G66-$I66),1,0)+IF(CD66=$G66,IF(CF66=$I66,2,0),0))</f>
        <v/>
      </c>
      <c r="CH66" s="3">
        <v>4</v>
      </c>
      <c r="CI66" s="1" t="s">
        <v>1</v>
      </c>
      <c r="CJ66" s="7">
        <v>0</v>
      </c>
      <c r="CK66" s="11" t="str">
        <f>IF(ISBLANK($I66)=TRUE,"",IF(SIGN(CH66-CJ66)=SIGN($G66-$I66),1,0)+IF(CH66=$G66,IF(CJ66=$I66,2,0),0))</f>
        <v/>
      </c>
      <c r="CL66" s="3">
        <v>3</v>
      </c>
      <c r="CM66" s="1" t="s">
        <v>1</v>
      </c>
      <c r="CN66" s="7">
        <v>0</v>
      </c>
      <c r="CO66" s="11" t="str">
        <f>IF(ISBLANK($I66)=TRUE,"",IF(SIGN(CL66-CN66)=SIGN($G66-$I66),1,0)+IF(CL66=$G66,IF(CN66=$I66,2,0),0))</f>
        <v/>
      </c>
      <c r="CP66" s="3">
        <v>3</v>
      </c>
      <c r="CQ66" s="1" t="s">
        <v>1</v>
      </c>
      <c r="CR66" s="7">
        <v>1</v>
      </c>
      <c r="CS66" s="11" t="str">
        <f>IF(ISBLANK($I66)=TRUE,"",IF(SIGN(CP66-CR66)=SIGN($G66-$I66),1,0)+IF(CP66=$G66,IF(CR66=$I66,2,0),0))</f>
        <v/>
      </c>
      <c r="CT66" s="3">
        <v>2</v>
      </c>
      <c r="CU66" s="1" t="s">
        <v>1</v>
      </c>
      <c r="CV66" s="7">
        <v>1</v>
      </c>
      <c r="CW66" s="11" t="str">
        <f>IF(ISBLANK($I66)=TRUE,"",IF(SIGN(CT66-CV66)=SIGN($G66-$I66),1,0)+IF(CT66=$G66,IF(CV66=$I66,2,0),0))</f>
        <v/>
      </c>
      <c r="CX66" s="3">
        <v>2</v>
      </c>
      <c r="CY66" s="1" t="s">
        <v>1</v>
      </c>
      <c r="CZ66" s="7">
        <v>1</v>
      </c>
      <c r="DA66" s="11" t="str">
        <f>IF(ISBLANK($I66)=TRUE,"",IF(SIGN(CX66-CZ66)=SIGN($G66-$I66),1,0)+IF(CX66=$G66,IF(CZ66=$I66,2,0),0))</f>
        <v/>
      </c>
      <c r="DB66" s="3">
        <v>4</v>
      </c>
      <c r="DC66" s="1" t="s">
        <v>1</v>
      </c>
      <c r="DD66" s="7">
        <v>0</v>
      </c>
      <c r="DE66" s="11" t="str">
        <f>IF(ISBLANK($I66)=TRUE,"",IF(SIGN(DB66-DD66)=SIGN($G66-$I66),1,0)+IF(DB66=$G66,IF(DD66=$I66,2,0),0))</f>
        <v/>
      </c>
      <c r="DF66" s="3">
        <v>1</v>
      </c>
      <c r="DG66" s="1" t="s">
        <v>1</v>
      </c>
      <c r="DH66" s="7">
        <v>1</v>
      </c>
      <c r="DI66" s="11" t="str">
        <f>IF(ISBLANK($I66)=TRUE,"",IF(SIGN(DF66-DH66)=SIGN($G66-$I66),1,0)+IF(DF66=$G66,IF(DH66=$I66,2,0),0))</f>
        <v/>
      </c>
    </row>
    <row r="67" spans="2:113" x14ac:dyDescent="0.3">
      <c r="B67" s="12">
        <v>46190</v>
      </c>
      <c r="C67" s="7" t="s">
        <v>69</v>
      </c>
      <c r="D67" s="3" t="s">
        <v>51</v>
      </c>
      <c r="E67" s="1" t="s">
        <v>1</v>
      </c>
      <c r="F67" s="5" t="s">
        <v>52</v>
      </c>
      <c r="G67" s="3"/>
      <c r="H67" s="1" t="s">
        <v>1</v>
      </c>
      <c r="I67" s="5"/>
      <c r="J67" s="3">
        <v>2</v>
      </c>
      <c r="K67" s="1" t="s">
        <v>1</v>
      </c>
      <c r="L67" s="7">
        <v>0</v>
      </c>
      <c r="M67" s="9" t="str">
        <f t="shared" ref="M67:M71" si="234">IF(ISBLANK($G67)=TRUE,"",IF(SIGN(J67-L67)=SIGN($G67-$I67),1,0)+IF(J67=$G67,IF(L67=$I67,2,0),0))</f>
        <v/>
      </c>
      <c r="N67" s="3">
        <v>2</v>
      </c>
      <c r="O67" s="1" t="s">
        <v>1</v>
      </c>
      <c r="P67" s="7">
        <v>1</v>
      </c>
      <c r="Q67" s="9" t="str">
        <f t="shared" ref="Q67:Q71" si="235">IF(ISBLANK($G67)=TRUE,"",IF(SIGN(N67-P67)=SIGN($G67-$I67),1,0)+IF(N67=$G67,IF(P67=$I67,2,0),0))</f>
        <v/>
      </c>
      <c r="R67" s="3">
        <v>1</v>
      </c>
      <c r="S67" s="1" t="s">
        <v>1</v>
      </c>
      <c r="T67" s="7">
        <v>0</v>
      </c>
      <c r="U67" s="9" t="str">
        <f t="shared" ref="U67:U71" si="236">IF(ISBLANK($G67)=TRUE,"",IF(SIGN(R67-T67)=SIGN($G67-$I67),1,0)+IF(R67=$G67,IF(T67=$I67,2,0),0))</f>
        <v/>
      </c>
      <c r="V67" s="3">
        <v>3</v>
      </c>
      <c r="W67" s="1" t="s">
        <v>1</v>
      </c>
      <c r="X67" s="7">
        <v>0</v>
      </c>
      <c r="Y67" s="9" t="str">
        <f t="shared" ref="Y67:Y71" si="237">IF(ISBLANK($G67)=TRUE,"",IF(SIGN(V67-X67)=SIGN($G67-$I67),1,0)+IF(V67=$G67,IF(X67=$I67,2,0),0))</f>
        <v/>
      </c>
      <c r="Z67" s="3">
        <v>3</v>
      </c>
      <c r="AA67" s="1" t="s">
        <v>1</v>
      </c>
      <c r="AB67" s="7">
        <v>0</v>
      </c>
      <c r="AC67" s="9" t="str">
        <f t="shared" ref="AC67:AC71" si="238">IF(ISBLANK($G67)=TRUE,"",IF(SIGN(Z67-AB67)=SIGN($G67-$I67),1,0)+IF(Z67=$G67,IF(AB67=$I67,2,0),0))</f>
        <v/>
      </c>
      <c r="AD67" s="3">
        <v>2</v>
      </c>
      <c r="AE67" s="1" t="s">
        <v>1</v>
      </c>
      <c r="AF67" s="7">
        <v>1</v>
      </c>
      <c r="AG67" s="9" t="str">
        <f t="shared" ref="AG67:AG71" si="239">IF(ISBLANK($G67)=TRUE,"",IF(SIGN(AD67-AF67)=SIGN($G67-$I67),1,0)+IF(AD67=$G67,IF(AF67=$I67,2,0),0))</f>
        <v/>
      </c>
      <c r="AH67" s="3">
        <v>2</v>
      </c>
      <c r="AI67" s="1" t="s">
        <v>1</v>
      </c>
      <c r="AJ67" s="7">
        <v>0</v>
      </c>
      <c r="AK67" s="9" t="str">
        <f t="shared" ref="AK67:AK71" si="240">IF(ISBLANK($G67)=TRUE,"",IF(SIGN(AH67-AJ67)=SIGN($G67-$I67),1,0)+IF(AH67=$G67,IF(AJ67=$I67,2,0),0))</f>
        <v/>
      </c>
      <c r="AL67" s="3">
        <v>1</v>
      </c>
      <c r="AM67" s="1" t="s">
        <v>1</v>
      </c>
      <c r="AN67" s="7">
        <v>0</v>
      </c>
      <c r="AO67" s="9" t="str">
        <f t="shared" ref="AO67:AO71" si="241">IF(ISBLANK($G67)=TRUE,"",IF(SIGN(AL67-AN67)=SIGN($G67-$I67),1,0)+IF(AL67=$G67,IF(AN67=$I67,2,0),0))</f>
        <v/>
      </c>
      <c r="AP67" s="3">
        <v>1</v>
      </c>
      <c r="AQ67" s="1" t="s">
        <v>1</v>
      </c>
      <c r="AR67" s="7">
        <v>0</v>
      </c>
      <c r="AS67" s="9" t="str">
        <f t="shared" ref="AS67:AS71" si="242">IF(ISBLANK($G67)=TRUE,"",IF(SIGN(AP67-AR67)=SIGN($G67-$I67),1,0)+IF(AP67=$G67,IF(AR67=$I67,2,0),0))</f>
        <v/>
      </c>
      <c r="AT67" s="3">
        <v>1</v>
      </c>
      <c r="AU67" s="1" t="s">
        <v>1</v>
      </c>
      <c r="AV67" s="7">
        <v>1</v>
      </c>
      <c r="AW67" s="9" t="str">
        <f t="shared" ref="AW67:AW71" si="243">IF(ISBLANK($G67)=TRUE,"",IF(SIGN(AT67-AV67)=SIGN($G67-$I67),1,0)+IF(AT67=$G67,IF(AV67=$I67,2,0),0))</f>
        <v/>
      </c>
      <c r="AX67" s="3">
        <v>1</v>
      </c>
      <c r="AY67" s="1" t="s">
        <v>1</v>
      </c>
      <c r="AZ67" s="7">
        <v>0</v>
      </c>
      <c r="BA67" s="9" t="str">
        <f t="shared" ref="BA67:BA71" si="244">IF(ISBLANK($G67)=TRUE,"",IF(SIGN(AX67-AZ67)=SIGN($G67-$I67),1,0)+IF(AX67=$G67,IF(AZ67=$I67,2,0),0))</f>
        <v/>
      </c>
      <c r="BB67" s="3">
        <v>2</v>
      </c>
      <c r="BC67" s="1" t="s">
        <v>1</v>
      </c>
      <c r="BD67" s="7">
        <v>0</v>
      </c>
      <c r="BE67" s="9" t="str">
        <f t="shared" ref="BE67:BE71" si="245">IF(ISBLANK($G67)=TRUE,"",IF(SIGN(BB67-BD67)=SIGN($G67-$I67),1,0)+IF(BB67=$G67,IF(BD67=$I67,2,0),0))</f>
        <v/>
      </c>
      <c r="BF67" s="3">
        <v>2</v>
      </c>
      <c r="BG67" s="1" t="s">
        <v>1</v>
      </c>
      <c r="BH67" s="7">
        <v>0</v>
      </c>
      <c r="BI67" s="9" t="str">
        <f t="shared" ref="BI67:BI71" si="246">IF(ISBLANK($G67)=TRUE,"",IF(SIGN(BF67-BH67)=SIGN($G67-$I67),1,0)+IF(BF67=$G67,IF(BH67=$I67,2,0),0))</f>
        <v/>
      </c>
      <c r="BJ67" s="3">
        <v>2</v>
      </c>
      <c r="BK67" s="1" t="s">
        <v>1</v>
      </c>
      <c r="BL67" s="7">
        <v>0</v>
      </c>
      <c r="BM67" s="9" t="str">
        <f t="shared" ref="BM67:BM71" si="247">IF(ISBLANK($G67)=TRUE,"",IF(SIGN(BJ67-BL67)=SIGN($G67-$I67),1,0)+IF(BJ67=$G67,IF(BL67=$I67,2,0),0))</f>
        <v/>
      </c>
      <c r="BN67" s="3">
        <v>2</v>
      </c>
      <c r="BO67" s="1" t="s">
        <v>1</v>
      </c>
      <c r="BP67" s="7">
        <v>0</v>
      </c>
      <c r="BQ67" s="9" t="str">
        <f t="shared" ref="BQ67:BQ71" si="248">IF(ISBLANK($G67)=TRUE,"",IF(SIGN(BN67-BP67)=SIGN($G67-$I67),1,0)+IF(BN67=$G67,IF(BP67=$I67,2,0),0))</f>
        <v/>
      </c>
      <c r="BR67" s="3">
        <v>3</v>
      </c>
      <c r="BS67" s="1" t="s">
        <v>1</v>
      </c>
      <c r="BT67" s="7">
        <v>0</v>
      </c>
      <c r="BU67" s="9" t="str">
        <f t="shared" ref="BU67:BU71" si="249">IF(ISBLANK($G67)=TRUE,"",IF(SIGN(BR67-BT67)=SIGN($G67-$I67),1,0)+IF(BR67=$G67,IF(BT67=$I67,2,0),0))</f>
        <v/>
      </c>
      <c r="BV67" s="3">
        <v>3</v>
      </c>
      <c r="BW67" s="1" t="s">
        <v>1</v>
      </c>
      <c r="BX67" s="7">
        <v>0</v>
      </c>
      <c r="BY67" s="9" t="str">
        <f t="shared" ref="BY67:BY71" si="250">IF(ISBLANK($G67)=TRUE,"",IF(SIGN(BV67-BX67)=SIGN($G67-$I67),1,0)+IF(BV67=$G67,IF(BX67=$I67,2,0),0))</f>
        <v/>
      </c>
      <c r="BZ67" s="3">
        <v>3</v>
      </c>
      <c r="CA67" s="1" t="s">
        <v>1</v>
      </c>
      <c r="CB67" s="7">
        <v>0</v>
      </c>
      <c r="CC67" s="9" t="str">
        <f t="shared" ref="CC67:CC71" si="251">IF(ISBLANK($G67)=TRUE,"",IF(SIGN(BZ67-CB67)=SIGN($G67-$I67),1,0)+IF(BZ67=$G67,IF(CB67=$I67,2,0),0))</f>
        <v/>
      </c>
      <c r="CD67" s="3">
        <v>2</v>
      </c>
      <c r="CE67" s="1" t="s">
        <v>1</v>
      </c>
      <c r="CF67" s="7">
        <v>0</v>
      </c>
      <c r="CG67" s="9" t="str">
        <f t="shared" ref="CG67:CG71" si="252">IF(ISBLANK($G67)=TRUE,"",IF(SIGN(CD67-CF67)=SIGN($G67-$I67),1,0)+IF(CD67=$G67,IF(CF67=$I67,2,0),0))</f>
        <v/>
      </c>
      <c r="CH67" s="3">
        <v>3</v>
      </c>
      <c r="CI67" s="1" t="s">
        <v>1</v>
      </c>
      <c r="CJ67" s="7">
        <v>0</v>
      </c>
      <c r="CK67" s="9" t="str">
        <f t="shared" ref="CK67:CK71" si="253">IF(ISBLANK($G67)=TRUE,"",IF(SIGN(CH67-CJ67)=SIGN($G67-$I67),1,0)+IF(CH67=$G67,IF(CJ67=$I67,2,0),0))</f>
        <v/>
      </c>
      <c r="CL67" s="3">
        <v>1</v>
      </c>
      <c r="CM67" s="1" t="s">
        <v>1</v>
      </c>
      <c r="CN67" s="7">
        <v>0</v>
      </c>
      <c r="CO67" s="9" t="str">
        <f t="shared" ref="CO67:CO71" si="254">IF(ISBLANK($G67)=TRUE,"",IF(SIGN(CL67-CN67)=SIGN($G67-$I67),1,0)+IF(CL67=$G67,IF(CN67=$I67,2,0),0))</f>
        <v/>
      </c>
      <c r="CP67" s="3">
        <v>2</v>
      </c>
      <c r="CQ67" s="1" t="s">
        <v>1</v>
      </c>
      <c r="CR67" s="7">
        <v>0</v>
      </c>
      <c r="CS67" s="9" t="str">
        <f t="shared" ref="CS67:CS71" si="255">IF(ISBLANK($G67)=TRUE,"",IF(SIGN(CP67-CR67)=SIGN($G67-$I67),1,0)+IF(CP67=$G67,IF(CR67=$I67,2,0),0))</f>
        <v/>
      </c>
      <c r="CT67" s="3">
        <v>2</v>
      </c>
      <c r="CU67" s="1" t="s">
        <v>1</v>
      </c>
      <c r="CV67" s="7">
        <v>1</v>
      </c>
      <c r="CW67" s="9" t="str">
        <f t="shared" ref="CW67:CW71" si="256">IF(ISBLANK($G67)=TRUE,"",IF(SIGN(CT67-CV67)=SIGN($G67-$I67),1,0)+IF(CT67=$G67,IF(CV67=$I67,2,0),0))</f>
        <v/>
      </c>
      <c r="CX67" s="3">
        <v>3</v>
      </c>
      <c r="CY67" s="1" t="s">
        <v>1</v>
      </c>
      <c r="CZ67" s="7">
        <v>0</v>
      </c>
      <c r="DA67" s="9" t="str">
        <f t="shared" ref="DA67:DA71" si="257">IF(ISBLANK($G67)=TRUE,"",IF(SIGN(CX67-CZ67)=SIGN($G67-$I67),1,0)+IF(CX67=$G67,IF(CZ67=$I67,2,0),0))</f>
        <v/>
      </c>
      <c r="DB67" s="3">
        <v>3</v>
      </c>
      <c r="DC67" s="1" t="s">
        <v>1</v>
      </c>
      <c r="DD67" s="7">
        <v>0</v>
      </c>
      <c r="DE67" s="9" t="str">
        <f t="shared" ref="DE67:DE71" si="258">IF(ISBLANK($G67)=TRUE,"",IF(SIGN(DB67-DD67)=SIGN($G67-$I67),1,0)+IF(DB67=$G67,IF(DD67=$I67,2,0),0))</f>
        <v/>
      </c>
      <c r="DF67" s="3">
        <v>2</v>
      </c>
      <c r="DG67" s="1" t="s">
        <v>1</v>
      </c>
      <c r="DH67" s="7">
        <v>1</v>
      </c>
      <c r="DI67" s="9" t="str">
        <f t="shared" ref="DI67:DI71" si="259">IF(ISBLANK($G67)=TRUE,"",IF(SIGN(DF67-DH67)=SIGN($G67-$I67),1,0)+IF(DF67=$G67,IF(DH67=$I67,2,0),0))</f>
        <v/>
      </c>
    </row>
    <row r="68" spans="2:113" x14ac:dyDescent="0.3">
      <c r="B68" s="12">
        <v>46195</v>
      </c>
      <c r="C68" s="7" t="s">
        <v>71</v>
      </c>
      <c r="D68" s="3" t="s">
        <v>49</v>
      </c>
      <c r="E68" s="1" t="s">
        <v>1</v>
      </c>
      <c r="F68" s="5" t="s">
        <v>51</v>
      </c>
      <c r="G68" s="3"/>
      <c r="H68" s="1" t="s">
        <v>1</v>
      </c>
      <c r="I68" s="5"/>
      <c r="J68" s="3">
        <v>2</v>
      </c>
      <c r="K68" s="1" t="s">
        <v>1</v>
      </c>
      <c r="L68" s="7">
        <v>0</v>
      </c>
      <c r="M68" s="9" t="str">
        <f t="shared" si="234"/>
        <v/>
      </c>
      <c r="N68" s="3">
        <v>2</v>
      </c>
      <c r="O68" s="1" t="s">
        <v>1</v>
      </c>
      <c r="P68" s="7">
        <v>0</v>
      </c>
      <c r="Q68" s="9" t="str">
        <f t="shared" si="235"/>
        <v/>
      </c>
      <c r="R68" s="3">
        <v>3</v>
      </c>
      <c r="S68" s="1" t="s">
        <v>1</v>
      </c>
      <c r="T68" s="7">
        <v>0</v>
      </c>
      <c r="U68" s="9" t="str">
        <f t="shared" si="236"/>
        <v/>
      </c>
      <c r="V68" s="3">
        <v>2</v>
      </c>
      <c r="W68" s="1" t="s">
        <v>1</v>
      </c>
      <c r="X68" s="7">
        <v>1</v>
      </c>
      <c r="Y68" s="9" t="str">
        <f t="shared" si="237"/>
        <v/>
      </c>
      <c r="Z68" s="3">
        <v>2</v>
      </c>
      <c r="AA68" s="1" t="s">
        <v>1</v>
      </c>
      <c r="AB68" s="7">
        <v>0</v>
      </c>
      <c r="AC68" s="9" t="str">
        <f t="shared" si="238"/>
        <v/>
      </c>
      <c r="AD68" s="3">
        <v>2</v>
      </c>
      <c r="AE68" s="1" t="s">
        <v>1</v>
      </c>
      <c r="AF68" s="7">
        <v>0</v>
      </c>
      <c r="AG68" s="9" t="str">
        <f t="shared" si="239"/>
        <v/>
      </c>
      <c r="AH68" s="3">
        <v>1</v>
      </c>
      <c r="AI68" s="1" t="s">
        <v>1</v>
      </c>
      <c r="AJ68" s="7">
        <v>1</v>
      </c>
      <c r="AK68" s="9" t="str">
        <f t="shared" si="240"/>
        <v/>
      </c>
      <c r="AL68" s="3">
        <v>1</v>
      </c>
      <c r="AM68" s="1" t="s">
        <v>1</v>
      </c>
      <c r="AN68" s="7">
        <v>0</v>
      </c>
      <c r="AO68" s="9" t="str">
        <f t="shared" si="241"/>
        <v/>
      </c>
      <c r="AP68" s="3">
        <v>2</v>
      </c>
      <c r="AQ68" s="1" t="s">
        <v>1</v>
      </c>
      <c r="AR68" s="7">
        <v>1</v>
      </c>
      <c r="AS68" s="9" t="str">
        <f t="shared" si="242"/>
        <v/>
      </c>
      <c r="AT68" s="3">
        <v>2</v>
      </c>
      <c r="AU68" s="1" t="s">
        <v>1</v>
      </c>
      <c r="AV68" s="7">
        <v>1</v>
      </c>
      <c r="AW68" s="9" t="str">
        <f t="shared" si="243"/>
        <v/>
      </c>
      <c r="AX68" s="3">
        <v>2</v>
      </c>
      <c r="AY68" s="1" t="s">
        <v>1</v>
      </c>
      <c r="AZ68" s="7">
        <v>1</v>
      </c>
      <c r="BA68" s="9" t="str">
        <f t="shared" si="244"/>
        <v/>
      </c>
      <c r="BB68" s="3">
        <v>1</v>
      </c>
      <c r="BC68" s="1" t="s">
        <v>1</v>
      </c>
      <c r="BD68" s="7">
        <v>2</v>
      </c>
      <c r="BE68" s="9" t="str">
        <f t="shared" si="245"/>
        <v/>
      </c>
      <c r="BF68" s="3">
        <v>2</v>
      </c>
      <c r="BG68" s="1" t="s">
        <v>1</v>
      </c>
      <c r="BH68" s="7">
        <v>0</v>
      </c>
      <c r="BI68" s="9" t="str">
        <f t="shared" si="246"/>
        <v/>
      </c>
      <c r="BJ68" s="3">
        <v>2</v>
      </c>
      <c r="BK68" s="1" t="s">
        <v>1</v>
      </c>
      <c r="BL68" s="7">
        <v>1</v>
      </c>
      <c r="BM68" s="9" t="str">
        <f t="shared" si="247"/>
        <v/>
      </c>
      <c r="BN68" s="3">
        <v>2</v>
      </c>
      <c r="BO68" s="1" t="s">
        <v>1</v>
      </c>
      <c r="BP68" s="7">
        <v>1</v>
      </c>
      <c r="BQ68" s="9" t="str">
        <f t="shared" si="248"/>
        <v/>
      </c>
      <c r="BR68" s="3">
        <v>2</v>
      </c>
      <c r="BS68" s="1" t="s">
        <v>1</v>
      </c>
      <c r="BT68" s="7">
        <v>1</v>
      </c>
      <c r="BU68" s="9" t="str">
        <f t="shared" si="249"/>
        <v/>
      </c>
      <c r="BV68" s="3">
        <v>2</v>
      </c>
      <c r="BW68" s="1" t="s">
        <v>1</v>
      </c>
      <c r="BX68" s="7">
        <v>1</v>
      </c>
      <c r="BY68" s="9" t="str">
        <f t="shared" si="250"/>
        <v/>
      </c>
      <c r="BZ68" s="3">
        <v>3</v>
      </c>
      <c r="CA68" s="1" t="s">
        <v>1</v>
      </c>
      <c r="CB68" s="7">
        <v>2</v>
      </c>
      <c r="CC68" s="9" t="str">
        <f t="shared" si="251"/>
        <v/>
      </c>
      <c r="CD68" s="3">
        <v>2</v>
      </c>
      <c r="CE68" s="1" t="s">
        <v>1</v>
      </c>
      <c r="CF68" s="7">
        <v>0</v>
      </c>
      <c r="CG68" s="9" t="str">
        <f t="shared" si="252"/>
        <v/>
      </c>
      <c r="CH68" s="3">
        <v>3</v>
      </c>
      <c r="CI68" s="1" t="s">
        <v>1</v>
      </c>
      <c r="CJ68" s="7">
        <v>2</v>
      </c>
      <c r="CK68" s="9" t="str">
        <f t="shared" si="253"/>
        <v/>
      </c>
      <c r="CL68" s="3">
        <v>2</v>
      </c>
      <c r="CM68" s="1" t="s">
        <v>1</v>
      </c>
      <c r="CN68" s="7">
        <v>1</v>
      </c>
      <c r="CO68" s="9" t="str">
        <f t="shared" si="254"/>
        <v/>
      </c>
      <c r="CP68" s="3">
        <v>2</v>
      </c>
      <c r="CQ68" s="1" t="s">
        <v>1</v>
      </c>
      <c r="CR68" s="7">
        <v>0</v>
      </c>
      <c r="CS68" s="9" t="str">
        <f t="shared" si="255"/>
        <v/>
      </c>
      <c r="CT68" s="3">
        <v>2</v>
      </c>
      <c r="CU68" s="1" t="s">
        <v>1</v>
      </c>
      <c r="CV68" s="7">
        <v>1</v>
      </c>
      <c r="CW68" s="9" t="str">
        <f t="shared" si="256"/>
        <v/>
      </c>
      <c r="CX68" s="3">
        <v>2</v>
      </c>
      <c r="CY68" s="1" t="s">
        <v>1</v>
      </c>
      <c r="CZ68" s="7">
        <v>1</v>
      </c>
      <c r="DA68" s="9" t="str">
        <f t="shared" si="257"/>
        <v/>
      </c>
      <c r="DB68" s="3">
        <v>2</v>
      </c>
      <c r="DC68" s="1" t="s">
        <v>1</v>
      </c>
      <c r="DD68" s="7">
        <v>1</v>
      </c>
      <c r="DE68" s="9" t="str">
        <f t="shared" si="258"/>
        <v/>
      </c>
      <c r="DF68" s="3">
        <v>3</v>
      </c>
      <c r="DG68" s="1" t="s">
        <v>1</v>
      </c>
      <c r="DH68" s="7">
        <v>1</v>
      </c>
      <c r="DI68" s="9" t="str">
        <f t="shared" si="259"/>
        <v/>
      </c>
    </row>
    <row r="69" spans="2:113" x14ac:dyDescent="0.3">
      <c r="B69" s="12">
        <v>46196</v>
      </c>
      <c r="C69" s="7" t="s">
        <v>70</v>
      </c>
      <c r="D69" s="3" t="s">
        <v>52</v>
      </c>
      <c r="E69" s="1" t="s">
        <v>1</v>
      </c>
      <c r="F69" s="5" t="s">
        <v>50</v>
      </c>
      <c r="G69" s="3"/>
      <c r="H69" s="1" t="s">
        <v>1</v>
      </c>
      <c r="I69" s="5"/>
      <c r="J69" s="3">
        <v>1</v>
      </c>
      <c r="K69" s="1" t="s">
        <v>1</v>
      </c>
      <c r="L69" s="7">
        <v>2</v>
      </c>
      <c r="M69" s="9" t="str">
        <f t="shared" si="234"/>
        <v/>
      </c>
      <c r="N69" s="3">
        <v>0</v>
      </c>
      <c r="O69" s="1" t="s">
        <v>1</v>
      </c>
      <c r="P69" s="7">
        <v>1</v>
      </c>
      <c r="Q69" s="9" t="str">
        <f t="shared" si="235"/>
        <v/>
      </c>
      <c r="R69" s="3">
        <v>0</v>
      </c>
      <c r="S69" s="1" t="s">
        <v>1</v>
      </c>
      <c r="T69" s="7">
        <v>3</v>
      </c>
      <c r="U69" s="9" t="str">
        <f t="shared" si="236"/>
        <v/>
      </c>
      <c r="V69" s="3">
        <v>0</v>
      </c>
      <c r="W69" s="1" t="s">
        <v>1</v>
      </c>
      <c r="X69" s="7">
        <v>2</v>
      </c>
      <c r="Y69" s="9" t="str">
        <f t="shared" si="237"/>
        <v/>
      </c>
      <c r="Z69" s="3">
        <v>0</v>
      </c>
      <c r="AA69" s="1" t="s">
        <v>1</v>
      </c>
      <c r="AB69" s="7">
        <v>1</v>
      </c>
      <c r="AC69" s="9" t="str">
        <f t="shared" si="238"/>
        <v/>
      </c>
      <c r="AD69" s="3">
        <v>0</v>
      </c>
      <c r="AE69" s="1" t="s">
        <v>1</v>
      </c>
      <c r="AF69" s="7">
        <v>1</v>
      </c>
      <c r="AG69" s="9" t="str">
        <f t="shared" si="239"/>
        <v/>
      </c>
      <c r="AH69" s="3">
        <v>0</v>
      </c>
      <c r="AI69" s="1" t="s">
        <v>1</v>
      </c>
      <c r="AJ69" s="7">
        <v>1</v>
      </c>
      <c r="AK69" s="9" t="str">
        <f t="shared" si="240"/>
        <v/>
      </c>
      <c r="AL69" s="3">
        <v>0</v>
      </c>
      <c r="AM69" s="1" t="s">
        <v>1</v>
      </c>
      <c r="AN69" s="7">
        <v>1</v>
      </c>
      <c r="AO69" s="9" t="str">
        <f t="shared" si="241"/>
        <v/>
      </c>
      <c r="AP69" s="3">
        <v>1</v>
      </c>
      <c r="AQ69" s="1" t="s">
        <v>1</v>
      </c>
      <c r="AR69" s="7">
        <v>0</v>
      </c>
      <c r="AS69" s="9" t="str">
        <f t="shared" si="242"/>
        <v/>
      </c>
      <c r="AT69" s="3">
        <v>1</v>
      </c>
      <c r="AU69" s="1" t="s">
        <v>1</v>
      </c>
      <c r="AV69" s="7">
        <v>3</v>
      </c>
      <c r="AW69" s="9" t="str">
        <f t="shared" si="243"/>
        <v/>
      </c>
      <c r="AX69" s="3">
        <v>2</v>
      </c>
      <c r="AY69" s="1" t="s">
        <v>1</v>
      </c>
      <c r="AZ69" s="7">
        <v>2</v>
      </c>
      <c r="BA69" s="9" t="str">
        <f t="shared" si="244"/>
        <v/>
      </c>
      <c r="BB69" s="3">
        <v>1</v>
      </c>
      <c r="BC69" s="1" t="s">
        <v>1</v>
      </c>
      <c r="BD69" s="7">
        <v>2</v>
      </c>
      <c r="BE69" s="9" t="str">
        <f t="shared" si="245"/>
        <v/>
      </c>
      <c r="BF69" s="3">
        <v>0</v>
      </c>
      <c r="BG69" s="1" t="s">
        <v>1</v>
      </c>
      <c r="BH69" s="7">
        <v>0</v>
      </c>
      <c r="BI69" s="9" t="str">
        <f t="shared" si="246"/>
        <v/>
      </c>
      <c r="BJ69" s="3">
        <v>0</v>
      </c>
      <c r="BK69" s="1" t="s">
        <v>1</v>
      </c>
      <c r="BL69" s="7">
        <v>1</v>
      </c>
      <c r="BM69" s="9" t="str">
        <f t="shared" si="247"/>
        <v/>
      </c>
      <c r="BN69" s="3">
        <v>0</v>
      </c>
      <c r="BO69" s="1" t="s">
        <v>1</v>
      </c>
      <c r="BP69" s="7">
        <v>2</v>
      </c>
      <c r="BQ69" s="9" t="str">
        <f t="shared" si="248"/>
        <v/>
      </c>
      <c r="BR69" s="3">
        <v>0</v>
      </c>
      <c r="BS69" s="1" t="s">
        <v>1</v>
      </c>
      <c r="BT69" s="7">
        <v>2</v>
      </c>
      <c r="BU69" s="9" t="str">
        <f t="shared" si="249"/>
        <v/>
      </c>
      <c r="BV69" s="3">
        <v>0</v>
      </c>
      <c r="BW69" s="1" t="s">
        <v>1</v>
      </c>
      <c r="BX69" s="7">
        <v>3</v>
      </c>
      <c r="BY69" s="9" t="str">
        <f t="shared" si="250"/>
        <v/>
      </c>
      <c r="BZ69" s="3">
        <v>1</v>
      </c>
      <c r="CA69" s="1" t="s">
        <v>1</v>
      </c>
      <c r="CB69" s="7">
        <v>2</v>
      </c>
      <c r="CC69" s="9" t="str">
        <f t="shared" si="251"/>
        <v/>
      </c>
      <c r="CD69" s="3">
        <v>0</v>
      </c>
      <c r="CE69" s="1" t="s">
        <v>1</v>
      </c>
      <c r="CF69" s="7">
        <v>1</v>
      </c>
      <c r="CG69" s="9" t="str">
        <f t="shared" si="252"/>
        <v/>
      </c>
      <c r="CH69" s="3">
        <v>1</v>
      </c>
      <c r="CI69" s="1" t="s">
        <v>1</v>
      </c>
      <c r="CJ69" s="7">
        <v>2</v>
      </c>
      <c r="CK69" s="9" t="str">
        <f t="shared" si="253"/>
        <v/>
      </c>
      <c r="CL69" s="3">
        <v>0</v>
      </c>
      <c r="CM69" s="1" t="s">
        <v>1</v>
      </c>
      <c r="CN69" s="7">
        <v>2</v>
      </c>
      <c r="CO69" s="9" t="str">
        <f t="shared" si="254"/>
        <v/>
      </c>
      <c r="CP69" s="3">
        <v>1</v>
      </c>
      <c r="CQ69" s="1" t="s">
        <v>1</v>
      </c>
      <c r="CR69" s="7">
        <v>2</v>
      </c>
      <c r="CS69" s="9" t="str">
        <f t="shared" si="255"/>
        <v/>
      </c>
      <c r="CT69" s="3">
        <v>1</v>
      </c>
      <c r="CU69" s="1" t="s">
        <v>1</v>
      </c>
      <c r="CV69" s="7">
        <v>2</v>
      </c>
      <c r="CW69" s="9" t="str">
        <f t="shared" si="256"/>
        <v/>
      </c>
      <c r="CX69" s="3">
        <v>0</v>
      </c>
      <c r="CY69" s="1" t="s">
        <v>1</v>
      </c>
      <c r="CZ69" s="7">
        <v>2</v>
      </c>
      <c r="DA69" s="9" t="str">
        <f t="shared" si="257"/>
        <v/>
      </c>
      <c r="DB69" s="3">
        <v>2</v>
      </c>
      <c r="DC69" s="1" t="s">
        <v>1</v>
      </c>
      <c r="DD69" s="7">
        <v>1</v>
      </c>
      <c r="DE69" s="9" t="str">
        <f t="shared" si="258"/>
        <v/>
      </c>
      <c r="DF69" s="3">
        <v>1</v>
      </c>
      <c r="DG69" s="1" t="s">
        <v>1</v>
      </c>
      <c r="DH69" s="7">
        <v>0</v>
      </c>
      <c r="DI69" s="9" t="str">
        <f t="shared" si="259"/>
        <v/>
      </c>
    </row>
    <row r="70" spans="2:113" x14ac:dyDescent="0.3">
      <c r="B70" s="12">
        <v>46201</v>
      </c>
      <c r="C70" s="7" t="s">
        <v>64</v>
      </c>
      <c r="D70" s="3" t="s">
        <v>50</v>
      </c>
      <c r="E70" s="1" t="s">
        <v>1</v>
      </c>
      <c r="F70" s="5" t="s">
        <v>51</v>
      </c>
      <c r="G70" s="3"/>
      <c r="H70" s="1" t="s">
        <v>1</v>
      </c>
      <c r="I70" s="5"/>
      <c r="J70" s="3">
        <v>2</v>
      </c>
      <c r="K70" s="1" t="s">
        <v>1</v>
      </c>
      <c r="L70" s="7">
        <v>2</v>
      </c>
      <c r="M70" s="9" t="str">
        <f t="shared" si="234"/>
        <v/>
      </c>
      <c r="N70" s="3">
        <v>0</v>
      </c>
      <c r="O70" s="1" t="s">
        <v>1</v>
      </c>
      <c r="P70" s="7">
        <v>1</v>
      </c>
      <c r="Q70" s="9" t="str">
        <f t="shared" si="235"/>
        <v/>
      </c>
      <c r="R70" s="3">
        <v>1</v>
      </c>
      <c r="S70" s="1" t="s">
        <v>1</v>
      </c>
      <c r="T70" s="7">
        <v>1</v>
      </c>
      <c r="U70" s="9" t="str">
        <f t="shared" si="236"/>
        <v/>
      </c>
      <c r="V70" s="3">
        <v>0</v>
      </c>
      <c r="W70" s="1" t="s">
        <v>1</v>
      </c>
      <c r="X70" s="7">
        <v>2</v>
      </c>
      <c r="Y70" s="9" t="str">
        <f t="shared" si="237"/>
        <v/>
      </c>
      <c r="Z70" s="3">
        <v>0</v>
      </c>
      <c r="AA70" s="1" t="s">
        <v>1</v>
      </c>
      <c r="AB70" s="7">
        <v>2</v>
      </c>
      <c r="AC70" s="9" t="str">
        <f t="shared" si="238"/>
        <v/>
      </c>
      <c r="AD70" s="3">
        <v>1</v>
      </c>
      <c r="AE70" s="1" t="s">
        <v>1</v>
      </c>
      <c r="AF70" s="7">
        <v>2</v>
      </c>
      <c r="AG70" s="9" t="str">
        <f t="shared" si="239"/>
        <v/>
      </c>
      <c r="AH70" s="3">
        <v>0</v>
      </c>
      <c r="AI70" s="1" t="s">
        <v>1</v>
      </c>
      <c r="AJ70" s="7">
        <v>1</v>
      </c>
      <c r="AK70" s="9" t="str">
        <f t="shared" si="240"/>
        <v/>
      </c>
      <c r="AL70" s="3">
        <v>0</v>
      </c>
      <c r="AM70" s="1" t="s">
        <v>1</v>
      </c>
      <c r="AN70" s="7">
        <v>1</v>
      </c>
      <c r="AO70" s="9" t="str">
        <f t="shared" si="241"/>
        <v/>
      </c>
      <c r="AP70" s="3">
        <v>0</v>
      </c>
      <c r="AQ70" s="1" t="s">
        <v>1</v>
      </c>
      <c r="AR70" s="7">
        <v>1</v>
      </c>
      <c r="AS70" s="9" t="str">
        <f t="shared" si="242"/>
        <v/>
      </c>
      <c r="AT70" s="3">
        <v>2</v>
      </c>
      <c r="AU70" s="1" t="s">
        <v>1</v>
      </c>
      <c r="AV70" s="7">
        <v>2</v>
      </c>
      <c r="AW70" s="9" t="str">
        <f t="shared" si="243"/>
        <v/>
      </c>
      <c r="AX70" s="3">
        <v>0</v>
      </c>
      <c r="AY70" s="1" t="s">
        <v>1</v>
      </c>
      <c r="AZ70" s="7">
        <v>2</v>
      </c>
      <c r="BA70" s="9" t="str">
        <f t="shared" si="244"/>
        <v/>
      </c>
      <c r="BB70" s="3">
        <v>1</v>
      </c>
      <c r="BC70" s="1" t="s">
        <v>1</v>
      </c>
      <c r="BD70" s="7">
        <v>1</v>
      </c>
      <c r="BE70" s="9" t="str">
        <f t="shared" si="245"/>
        <v/>
      </c>
      <c r="BF70" s="3">
        <v>2</v>
      </c>
      <c r="BG70" s="1" t="s">
        <v>1</v>
      </c>
      <c r="BH70" s="7">
        <v>0</v>
      </c>
      <c r="BI70" s="9" t="str">
        <f t="shared" si="246"/>
        <v/>
      </c>
      <c r="BJ70" s="3">
        <v>1</v>
      </c>
      <c r="BK70" s="1" t="s">
        <v>1</v>
      </c>
      <c r="BL70" s="7">
        <v>2</v>
      </c>
      <c r="BM70" s="9" t="str">
        <f t="shared" si="247"/>
        <v/>
      </c>
      <c r="BN70" s="3">
        <v>1</v>
      </c>
      <c r="BO70" s="1" t="s">
        <v>1</v>
      </c>
      <c r="BP70" s="7">
        <v>1</v>
      </c>
      <c r="BQ70" s="9" t="str">
        <f t="shared" si="248"/>
        <v/>
      </c>
      <c r="BR70" s="3">
        <v>1</v>
      </c>
      <c r="BS70" s="1" t="s">
        <v>1</v>
      </c>
      <c r="BT70" s="7">
        <v>1</v>
      </c>
      <c r="BU70" s="9" t="str">
        <f t="shared" si="249"/>
        <v/>
      </c>
      <c r="BV70" s="3">
        <v>1</v>
      </c>
      <c r="BW70" s="1" t="s">
        <v>1</v>
      </c>
      <c r="BX70" s="7">
        <v>1</v>
      </c>
      <c r="BY70" s="9" t="str">
        <f t="shared" si="250"/>
        <v/>
      </c>
      <c r="BZ70" s="3">
        <v>0</v>
      </c>
      <c r="CA70" s="1" t="s">
        <v>1</v>
      </c>
      <c r="CB70" s="7">
        <v>2</v>
      </c>
      <c r="CC70" s="9" t="str">
        <f t="shared" si="251"/>
        <v/>
      </c>
      <c r="CD70" s="3">
        <v>1</v>
      </c>
      <c r="CE70" s="1" t="s">
        <v>1</v>
      </c>
      <c r="CF70" s="7">
        <v>1</v>
      </c>
      <c r="CG70" s="9" t="str">
        <f t="shared" si="252"/>
        <v/>
      </c>
      <c r="CH70" s="3">
        <v>1</v>
      </c>
      <c r="CI70" s="1" t="s">
        <v>1</v>
      </c>
      <c r="CJ70" s="7">
        <v>2</v>
      </c>
      <c r="CK70" s="9" t="str">
        <f t="shared" si="253"/>
        <v/>
      </c>
      <c r="CL70" s="3">
        <v>1</v>
      </c>
      <c r="CM70" s="1" t="s">
        <v>1</v>
      </c>
      <c r="CN70" s="7">
        <v>1</v>
      </c>
      <c r="CO70" s="9" t="str">
        <f t="shared" si="254"/>
        <v/>
      </c>
      <c r="CP70" s="3">
        <v>2</v>
      </c>
      <c r="CQ70" s="1" t="s">
        <v>1</v>
      </c>
      <c r="CR70" s="7">
        <v>2</v>
      </c>
      <c r="CS70" s="9" t="str">
        <f t="shared" si="255"/>
        <v/>
      </c>
      <c r="CT70" s="3">
        <v>2</v>
      </c>
      <c r="CU70" s="1" t="s">
        <v>1</v>
      </c>
      <c r="CV70" s="7">
        <v>2</v>
      </c>
      <c r="CW70" s="9" t="str">
        <f t="shared" si="256"/>
        <v/>
      </c>
      <c r="CX70" s="3">
        <v>1</v>
      </c>
      <c r="CY70" s="1" t="s">
        <v>1</v>
      </c>
      <c r="CZ70" s="7">
        <v>1</v>
      </c>
      <c r="DA70" s="9" t="str">
        <f t="shared" si="257"/>
        <v/>
      </c>
      <c r="DB70" s="3">
        <v>0</v>
      </c>
      <c r="DC70" s="1" t="s">
        <v>1</v>
      </c>
      <c r="DD70" s="7">
        <v>4</v>
      </c>
      <c r="DE70" s="9" t="str">
        <f t="shared" si="258"/>
        <v/>
      </c>
      <c r="DF70" s="3">
        <v>0</v>
      </c>
      <c r="DG70" s="1" t="s">
        <v>1</v>
      </c>
      <c r="DH70" s="7">
        <v>1</v>
      </c>
      <c r="DI70" s="9" t="str">
        <f t="shared" si="259"/>
        <v/>
      </c>
    </row>
    <row r="71" spans="2:113" ht="15" thickBot="1" x14ac:dyDescent="0.35">
      <c r="B71" s="13">
        <v>46201</v>
      </c>
      <c r="C71" s="8" t="s">
        <v>64</v>
      </c>
      <c r="D71" s="4" t="s">
        <v>52</v>
      </c>
      <c r="E71" s="2" t="s">
        <v>1</v>
      </c>
      <c r="F71" s="6" t="s">
        <v>49</v>
      </c>
      <c r="G71" s="4"/>
      <c r="H71" s="2" t="s">
        <v>1</v>
      </c>
      <c r="I71" s="6"/>
      <c r="J71" s="4">
        <v>0</v>
      </c>
      <c r="K71" s="2" t="s">
        <v>1</v>
      </c>
      <c r="L71" s="8">
        <v>2</v>
      </c>
      <c r="M71" s="10" t="str">
        <f t="shared" si="234"/>
        <v/>
      </c>
      <c r="N71" s="4">
        <v>0</v>
      </c>
      <c r="O71" s="2" t="s">
        <v>1</v>
      </c>
      <c r="P71" s="8">
        <v>3</v>
      </c>
      <c r="Q71" s="10" t="str">
        <f t="shared" si="235"/>
        <v/>
      </c>
      <c r="R71" s="4">
        <v>0</v>
      </c>
      <c r="S71" s="2" t="s">
        <v>1</v>
      </c>
      <c r="T71" s="8">
        <v>3</v>
      </c>
      <c r="U71" s="10" t="str">
        <f t="shared" si="236"/>
        <v/>
      </c>
      <c r="V71" s="4">
        <v>0</v>
      </c>
      <c r="W71" s="2" t="s">
        <v>1</v>
      </c>
      <c r="X71" s="8">
        <v>3</v>
      </c>
      <c r="Y71" s="10" t="str">
        <f t="shared" si="237"/>
        <v/>
      </c>
      <c r="Z71" s="4">
        <v>0</v>
      </c>
      <c r="AA71" s="2" t="s">
        <v>1</v>
      </c>
      <c r="AB71" s="8">
        <v>5</v>
      </c>
      <c r="AC71" s="10" t="str">
        <f t="shared" si="238"/>
        <v/>
      </c>
      <c r="AD71" s="4">
        <v>0</v>
      </c>
      <c r="AE71" s="2" t="s">
        <v>1</v>
      </c>
      <c r="AF71" s="8">
        <v>3</v>
      </c>
      <c r="AG71" s="10" t="str">
        <f t="shared" si="239"/>
        <v/>
      </c>
      <c r="AH71" s="4">
        <v>0</v>
      </c>
      <c r="AI71" s="2" t="s">
        <v>1</v>
      </c>
      <c r="AJ71" s="8">
        <v>3</v>
      </c>
      <c r="AK71" s="10" t="str">
        <f t="shared" si="240"/>
        <v/>
      </c>
      <c r="AL71" s="4">
        <v>0</v>
      </c>
      <c r="AM71" s="2" t="s">
        <v>1</v>
      </c>
      <c r="AN71" s="8">
        <v>2</v>
      </c>
      <c r="AO71" s="10" t="str">
        <f t="shared" si="241"/>
        <v/>
      </c>
      <c r="AP71" s="4">
        <v>1</v>
      </c>
      <c r="AQ71" s="2" t="s">
        <v>1</v>
      </c>
      <c r="AR71" s="8">
        <v>2</v>
      </c>
      <c r="AS71" s="10" t="str">
        <f t="shared" si="242"/>
        <v/>
      </c>
      <c r="AT71" s="4">
        <v>0</v>
      </c>
      <c r="AU71" s="2" t="s">
        <v>1</v>
      </c>
      <c r="AV71" s="8">
        <v>2</v>
      </c>
      <c r="AW71" s="10" t="str">
        <f t="shared" si="243"/>
        <v/>
      </c>
      <c r="AX71" s="4">
        <v>0</v>
      </c>
      <c r="AY71" s="2" t="s">
        <v>1</v>
      </c>
      <c r="AZ71" s="8">
        <v>2</v>
      </c>
      <c r="BA71" s="10" t="str">
        <f t="shared" si="244"/>
        <v/>
      </c>
      <c r="BB71" s="4">
        <v>0</v>
      </c>
      <c r="BC71" s="2" t="s">
        <v>1</v>
      </c>
      <c r="BD71" s="8">
        <v>3</v>
      </c>
      <c r="BE71" s="10" t="str">
        <f t="shared" si="245"/>
        <v/>
      </c>
      <c r="BF71" s="4">
        <v>0</v>
      </c>
      <c r="BG71" s="2" t="s">
        <v>1</v>
      </c>
      <c r="BH71" s="8">
        <v>2</v>
      </c>
      <c r="BI71" s="10" t="str">
        <f t="shared" si="246"/>
        <v/>
      </c>
      <c r="BJ71" s="4">
        <v>0</v>
      </c>
      <c r="BK71" s="2" t="s">
        <v>1</v>
      </c>
      <c r="BL71" s="8">
        <v>3</v>
      </c>
      <c r="BM71" s="10" t="str">
        <f t="shared" si="247"/>
        <v/>
      </c>
      <c r="BN71" s="4">
        <v>0</v>
      </c>
      <c r="BO71" s="2" t="s">
        <v>1</v>
      </c>
      <c r="BP71" s="8">
        <v>3</v>
      </c>
      <c r="BQ71" s="10" t="str">
        <f t="shared" si="248"/>
        <v/>
      </c>
      <c r="BR71" s="4">
        <v>1</v>
      </c>
      <c r="BS71" s="2" t="s">
        <v>1</v>
      </c>
      <c r="BT71" s="8">
        <v>4</v>
      </c>
      <c r="BU71" s="10" t="str">
        <f t="shared" si="249"/>
        <v/>
      </c>
      <c r="BV71" s="4">
        <v>0</v>
      </c>
      <c r="BW71" s="2" t="s">
        <v>1</v>
      </c>
      <c r="BX71" s="8">
        <v>2</v>
      </c>
      <c r="BY71" s="10" t="str">
        <f t="shared" si="250"/>
        <v/>
      </c>
      <c r="BZ71" s="4">
        <v>0</v>
      </c>
      <c r="CA71" s="2" t="s">
        <v>1</v>
      </c>
      <c r="CB71" s="8">
        <v>4</v>
      </c>
      <c r="CC71" s="10" t="str">
        <f t="shared" si="251"/>
        <v/>
      </c>
      <c r="CD71" s="4">
        <v>0</v>
      </c>
      <c r="CE71" s="2" t="s">
        <v>1</v>
      </c>
      <c r="CF71" s="8">
        <v>3</v>
      </c>
      <c r="CG71" s="10" t="str">
        <f t="shared" si="252"/>
        <v/>
      </c>
      <c r="CH71" s="4">
        <v>0</v>
      </c>
      <c r="CI71" s="2" t="s">
        <v>1</v>
      </c>
      <c r="CJ71" s="8">
        <v>4</v>
      </c>
      <c r="CK71" s="10" t="str">
        <f t="shared" si="253"/>
        <v/>
      </c>
      <c r="CL71" s="4">
        <v>0</v>
      </c>
      <c r="CM71" s="2" t="s">
        <v>1</v>
      </c>
      <c r="CN71" s="8">
        <v>3</v>
      </c>
      <c r="CO71" s="10" t="str">
        <f t="shared" si="254"/>
        <v/>
      </c>
      <c r="CP71" s="4">
        <v>0</v>
      </c>
      <c r="CQ71" s="2" t="s">
        <v>1</v>
      </c>
      <c r="CR71" s="8">
        <v>4</v>
      </c>
      <c r="CS71" s="10" t="str">
        <f t="shared" si="255"/>
        <v/>
      </c>
      <c r="CT71" s="4">
        <v>0</v>
      </c>
      <c r="CU71" s="2" t="s">
        <v>1</v>
      </c>
      <c r="CV71" s="8">
        <v>3</v>
      </c>
      <c r="CW71" s="10" t="str">
        <f t="shared" si="256"/>
        <v/>
      </c>
      <c r="CX71" s="4">
        <v>0</v>
      </c>
      <c r="CY71" s="2" t="s">
        <v>1</v>
      </c>
      <c r="CZ71" s="8">
        <v>3</v>
      </c>
      <c r="DA71" s="10" t="str">
        <f t="shared" si="257"/>
        <v/>
      </c>
      <c r="DB71" s="4">
        <v>1</v>
      </c>
      <c r="DC71" s="2" t="s">
        <v>1</v>
      </c>
      <c r="DD71" s="8">
        <v>4</v>
      </c>
      <c r="DE71" s="10" t="str">
        <f t="shared" si="258"/>
        <v/>
      </c>
      <c r="DF71" s="4">
        <v>2</v>
      </c>
      <c r="DG71" s="2" t="s">
        <v>1</v>
      </c>
      <c r="DH71" s="8">
        <v>4</v>
      </c>
      <c r="DI71" s="10" t="str">
        <f t="shared" si="259"/>
        <v/>
      </c>
    </row>
    <row r="72" spans="2:113" ht="15" thickBot="1" x14ac:dyDescent="0.35">
      <c r="B72" s="51" t="s">
        <v>77</v>
      </c>
      <c r="C72" s="52" t="s">
        <v>78</v>
      </c>
      <c r="D72" s="157" t="s">
        <v>53</v>
      </c>
      <c r="E72" s="158"/>
      <c r="F72" s="159"/>
      <c r="G72" s="53" t="s">
        <v>7</v>
      </c>
      <c r="H72" s="54"/>
      <c r="I72" s="55"/>
      <c r="J72" s="61"/>
      <c r="K72" s="62"/>
      <c r="L72" s="62"/>
      <c r="M72" s="63"/>
      <c r="N72" s="64"/>
      <c r="O72" s="65"/>
      <c r="P72" s="65"/>
      <c r="Q72" s="66"/>
      <c r="R72" s="67"/>
      <c r="S72" s="68"/>
      <c r="T72" s="68"/>
      <c r="U72" s="69"/>
      <c r="V72" s="109"/>
      <c r="W72" s="110"/>
      <c r="X72" s="110"/>
      <c r="Y72" s="111"/>
      <c r="Z72" s="70"/>
      <c r="AA72" s="71"/>
      <c r="AB72" s="71"/>
      <c r="AC72" s="72"/>
      <c r="AD72" s="73"/>
      <c r="AE72" s="74"/>
      <c r="AF72" s="74"/>
      <c r="AG72" s="75"/>
      <c r="AH72" s="76"/>
      <c r="AI72" s="77"/>
      <c r="AJ72" s="77"/>
      <c r="AK72" s="78"/>
      <c r="AL72" s="79"/>
      <c r="AM72" s="80"/>
      <c r="AN72" s="80"/>
      <c r="AO72" s="81"/>
      <c r="AP72" s="41"/>
      <c r="AQ72" s="42"/>
      <c r="AR72" s="42"/>
      <c r="AS72" s="43"/>
      <c r="AT72" s="82"/>
      <c r="AU72" s="83"/>
      <c r="AV72" s="83"/>
      <c r="AW72" s="84"/>
      <c r="AX72" s="85"/>
      <c r="AY72" s="86"/>
      <c r="AZ72" s="86"/>
      <c r="BA72" s="87"/>
      <c r="BB72" s="88"/>
      <c r="BC72" s="89"/>
      <c r="BD72" s="89"/>
      <c r="BE72" s="90"/>
      <c r="BF72" s="91"/>
      <c r="BG72" s="92"/>
      <c r="BH72" s="92"/>
      <c r="BI72" s="93"/>
      <c r="BJ72" s="94"/>
      <c r="BK72" s="95"/>
      <c r="BL72" s="95"/>
      <c r="BM72" s="96"/>
      <c r="BN72" s="34"/>
      <c r="BO72" s="36"/>
      <c r="BP72" s="36"/>
      <c r="BQ72" s="35"/>
      <c r="BR72" s="79"/>
      <c r="BS72" s="80"/>
      <c r="BT72" s="80"/>
      <c r="BU72" s="81"/>
      <c r="BV72" s="97"/>
      <c r="BW72" s="98"/>
      <c r="BX72" s="98"/>
      <c r="BY72" s="99"/>
      <c r="BZ72" s="41"/>
      <c r="CA72" s="42"/>
      <c r="CB72" s="42"/>
      <c r="CC72" s="43"/>
      <c r="CD72" s="100"/>
      <c r="CE72" s="101"/>
      <c r="CF72" s="101"/>
      <c r="CG72" s="102"/>
      <c r="CH72" s="103"/>
      <c r="CI72" s="104"/>
      <c r="CJ72" s="104"/>
      <c r="CK72" s="105"/>
      <c r="CL72" s="109"/>
      <c r="CM72" s="110"/>
      <c r="CN72" s="110"/>
      <c r="CO72" s="111"/>
      <c r="CP72" s="106"/>
      <c r="CQ72" s="107"/>
      <c r="CR72" s="107"/>
      <c r="CS72" s="108"/>
      <c r="CT72" s="85"/>
      <c r="CU72" s="86"/>
      <c r="CV72" s="86"/>
      <c r="CW72" s="87"/>
      <c r="CX72" s="133"/>
      <c r="CY72" s="134"/>
      <c r="CZ72" s="134"/>
      <c r="DA72" s="135"/>
      <c r="DB72" s="137"/>
      <c r="DC72" s="138"/>
      <c r="DD72" s="138"/>
      <c r="DE72" s="139"/>
      <c r="DF72" s="53"/>
      <c r="DG72" s="54"/>
      <c r="DH72" s="54"/>
      <c r="DI72" s="55"/>
    </row>
    <row r="73" spans="2:113" x14ac:dyDescent="0.3">
      <c r="B73" s="12">
        <v>46190</v>
      </c>
      <c r="C73" s="7" t="s">
        <v>71</v>
      </c>
      <c r="D73" s="3" t="s">
        <v>54</v>
      </c>
      <c r="E73" s="1" t="s">
        <v>1</v>
      </c>
      <c r="F73" s="5" t="s">
        <v>55</v>
      </c>
      <c r="G73" s="3"/>
      <c r="H73" s="1" t="s">
        <v>1</v>
      </c>
      <c r="I73" s="5"/>
      <c r="J73" s="3">
        <v>1</v>
      </c>
      <c r="K73" s="1" t="s">
        <v>1</v>
      </c>
      <c r="L73" s="7">
        <v>1</v>
      </c>
      <c r="M73" s="11" t="str">
        <f>IF(ISBLANK($I73)=TRUE,"",IF(SIGN(J73-L73)=SIGN($G73-$I73),1,0)+IF(J73=$G73,IF(L73=$I73,2,0),0))</f>
        <v/>
      </c>
      <c r="N73" s="3">
        <v>3</v>
      </c>
      <c r="O73" s="1" t="s">
        <v>1</v>
      </c>
      <c r="P73" s="7">
        <v>0</v>
      </c>
      <c r="Q73" s="11" t="str">
        <f>IF(ISBLANK($I73)=TRUE,"",IF(SIGN(N73-P73)=SIGN($G73-$I73),1,0)+IF(N73=$G73,IF(P73=$I73,2,0),0))</f>
        <v/>
      </c>
      <c r="R73" s="3">
        <v>3</v>
      </c>
      <c r="S73" s="1" t="s">
        <v>1</v>
      </c>
      <c r="T73" s="7">
        <v>0</v>
      </c>
      <c r="U73" s="11" t="str">
        <f>IF(ISBLANK($I73)=TRUE,"",IF(SIGN(R73-T73)=SIGN($G73-$I73),1,0)+IF(R73=$G73,IF(T73=$I73,2,0),0))</f>
        <v/>
      </c>
      <c r="V73" s="3">
        <v>2</v>
      </c>
      <c r="W73" s="1" t="s">
        <v>1</v>
      </c>
      <c r="X73" s="7">
        <v>0</v>
      </c>
      <c r="Y73" s="11" t="str">
        <f>IF(ISBLANK($I73)=TRUE,"",IF(SIGN(V73-X73)=SIGN($G73-$I73),1,0)+IF(V73=$G73,IF(X73=$I73,2,0),0))</f>
        <v/>
      </c>
      <c r="Z73" s="3">
        <v>3</v>
      </c>
      <c r="AA73" s="1" t="s">
        <v>1</v>
      </c>
      <c r="AB73" s="7">
        <v>0</v>
      </c>
      <c r="AC73" s="11" t="str">
        <f>IF(ISBLANK($I73)=TRUE,"",IF(SIGN(Z73-AB73)=SIGN($G73-$I73),1,0)+IF(Z73=$G73,IF(AB73=$I73,2,0),0))</f>
        <v/>
      </c>
      <c r="AD73" s="3">
        <v>3</v>
      </c>
      <c r="AE73" s="1" t="s">
        <v>1</v>
      </c>
      <c r="AF73" s="7">
        <v>0</v>
      </c>
      <c r="AG73" s="11" t="str">
        <f>IF(ISBLANK($I73)=TRUE,"",IF(SIGN(AD73-AF73)=SIGN($G73-$I73),1,0)+IF(AD73=$G73,IF(AF73=$I73,2,0),0))</f>
        <v/>
      </c>
      <c r="AH73" s="3">
        <v>3</v>
      </c>
      <c r="AI73" s="1" t="s">
        <v>1</v>
      </c>
      <c r="AJ73" s="7">
        <v>0</v>
      </c>
      <c r="AK73" s="11" t="str">
        <f>IF(ISBLANK($I73)=TRUE,"",IF(SIGN(AH73-AJ73)=SIGN($G73-$I73),1,0)+IF(AH73=$G73,IF(AJ73=$I73,2,0),0))</f>
        <v/>
      </c>
      <c r="AL73" s="3">
        <v>1</v>
      </c>
      <c r="AM73" s="1" t="s">
        <v>1</v>
      </c>
      <c r="AN73" s="7">
        <v>0</v>
      </c>
      <c r="AO73" s="11" t="str">
        <f>IF(ISBLANK($I73)=TRUE,"",IF(SIGN(AL73-AN73)=SIGN($G73-$I73),1,0)+IF(AL73=$G73,IF(AN73=$I73,2,0),0))</f>
        <v/>
      </c>
      <c r="AP73" s="3">
        <v>2</v>
      </c>
      <c r="AQ73" s="1" t="s">
        <v>1</v>
      </c>
      <c r="AR73" s="7">
        <v>1</v>
      </c>
      <c r="AS73" s="11" t="str">
        <f>IF(ISBLANK($I73)=TRUE,"",IF(SIGN(AP73-AR73)=SIGN($G73-$I73),1,0)+IF(AP73=$G73,IF(AR73=$I73,2,0),0))</f>
        <v/>
      </c>
      <c r="AT73" s="3">
        <v>2</v>
      </c>
      <c r="AU73" s="1" t="s">
        <v>1</v>
      </c>
      <c r="AV73" s="7">
        <v>1</v>
      </c>
      <c r="AW73" s="11" t="str">
        <f>IF(ISBLANK($I73)=TRUE,"",IF(SIGN(AT73-AV73)=SIGN($G73-$I73),1,0)+IF(AT73=$G73,IF(AV73=$I73,2,0),0))</f>
        <v/>
      </c>
      <c r="AX73" s="3">
        <v>2</v>
      </c>
      <c r="AY73" s="1" t="s">
        <v>1</v>
      </c>
      <c r="AZ73" s="7">
        <v>0</v>
      </c>
      <c r="BA73" s="11" t="str">
        <f>IF(ISBLANK($I73)=TRUE,"",IF(SIGN(AX73-AZ73)=SIGN($G73-$I73),1,0)+IF(AX73=$G73,IF(AZ73=$I73,2,0),0))</f>
        <v/>
      </c>
      <c r="BB73" s="3">
        <v>3</v>
      </c>
      <c r="BC73" s="1" t="s">
        <v>1</v>
      </c>
      <c r="BD73" s="7">
        <v>0</v>
      </c>
      <c r="BE73" s="11" t="str">
        <f>IF(ISBLANK($I73)=TRUE,"",IF(SIGN(BB73-BD73)=SIGN($G73-$I73),1,0)+IF(BB73=$G73,IF(BD73=$I73,2,0),0))</f>
        <v/>
      </c>
      <c r="BF73" s="3">
        <v>1</v>
      </c>
      <c r="BG73" s="1" t="s">
        <v>1</v>
      </c>
      <c r="BH73" s="7">
        <v>1</v>
      </c>
      <c r="BI73" s="11" t="str">
        <f>IF(ISBLANK($I73)=TRUE,"",IF(SIGN(BF73-BH73)=SIGN($G73-$I73),1,0)+IF(BF73=$G73,IF(BH73=$I73,2,0),0))</f>
        <v/>
      </c>
      <c r="BJ73" s="3">
        <v>0</v>
      </c>
      <c r="BK73" s="1" t="s">
        <v>1</v>
      </c>
      <c r="BL73" s="7">
        <v>1</v>
      </c>
      <c r="BM73" s="11" t="str">
        <f>IF(ISBLANK($I73)=TRUE,"",IF(SIGN(BJ73-BL73)=SIGN($G73-$I73),1,0)+IF(BJ73=$G73,IF(BL73=$I73,2,0),0))</f>
        <v/>
      </c>
      <c r="BN73" s="3">
        <v>2</v>
      </c>
      <c r="BO73" s="1" t="s">
        <v>1</v>
      </c>
      <c r="BP73" s="7">
        <v>0</v>
      </c>
      <c r="BQ73" s="11" t="str">
        <f>IF(ISBLANK($I73)=TRUE,"",IF(SIGN(BN73-BP73)=SIGN($G73-$I73),1,0)+IF(BN73=$G73,IF(BP73=$I73,2,0),0))</f>
        <v/>
      </c>
      <c r="BR73" s="3">
        <v>4</v>
      </c>
      <c r="BS73" s="1" t="s">
        <v>1</v>
      </c>
      <c r="BT73" s="7">
        <v>1</v>
      </c>
      <c r="BU73" s="11" t="str">
        <f>IF(ISBLANK($I73)=TRUE,"",IF(SIGN(BR73-BT73)=SIGN($G73-$I73),1,0)+IF(BR73=$G73,IF(BT73=$I73,2,0),0))</f>
        <v/>
      </c>
      <c r="BV73" s="3">
        <v>3</v>
      </c>
      <c r="BW73" s="1" t="s">
        <v>1</v>
      </c>
      <c r="BX73" s="7">
        <v>1</v>
      </c>
      <c r="BY73" s="11" t="str">
        <f>IF(ISBLANK($I73)=TRUE,"",IF(SIGN(BV73-BX73)=SIGN($G73-$I73),1,0)+IF(BV73=$G73,IF(BX73=$I73,2,0),0))</f>
        <v/>
      </c>
      <c r="BZ73" s="3">
        <v>3</v>
      </c>
      <c r="CA73" s="1" t="s">
        <v>1</v>
      </c>
      <c r="CB73" s="7">
        <v>1</v>
      </c>
      <c r="CC73" s="11" t="str">
        <f>IF(ISBLANK($I73)=TRUE,"",IF(SIGN(BZ73-CB73)=SIGN($G73-$I73),1,0)+IF(BZ73=$G73,IF(CB73=$I73,2,0),0))</f>
        <v/>
      </c>
      <c r="CD73" s="3">
        <v>2</v>
      </c>
      <c r="CE73" s="1" t="s">
        <v>1</v>
      </c>
      <c r="CF73" s="7">
        <v>0</v>
      </c>
      <c r="CG73" s="11" t="str">
        <f>IF(ISBLANK($I73)=TRUE,"",IF(SIGN(CD73-CF73)=SIGN($G73-$I73),1,0)+IF(CD73=$G73,IF(CF73=$I73,2,0),0))</f>
        <v/>
      </c>
      <c r="CH73" s="3">
        <v>3</v>
      </c>
      <c r="CI73" s="1" t="s">
        <v>1</v>
      </c>
      <c r="CJ73" s="7">
        <v>0</v>
      </c>
      <c r="CK73" s="11" t="str">
        <f>IF(ISBLANK($I73)=TRUE,"",IF(SIGN(CH73-CJ73)=SIGN($G73-$I73),1,0)+IF(CH73=$G73,IF(CJ73=$I73,2,0),0))</f>
        <v/>
      </c>
      <c r="CL73" s="3">
        <v>3</v>
      </c>
      <c r="CM73" s="1" t="s">
        <v>1</v>
      </c>
      <c r="CN73" s="7">
        <v>0</v>
      </c>
      <c r="CO73" s="11" t="str">
        <f>IF(ISBLANK($I73)=TRUE,"",IF(SIGN(CL73-CN73)=SIGN($G73-$I73),1,0)+IF(CL73=$G73,IF(CN73=$I73,2,0),0))</f>
        <v/>
      </c>
      <c r="CP73" s="3">
        <v>3</v>
      </c>
      <c r="CQ73" s="1" t="s">
        <v>1</v>
      </c>
      <c r="CR73" s="7">
        <v>1</v>
      </c>
      <c r="CS73" s="11" t="str">
        <f>IF(ISBLANK($I73)=TRUE,"",IF(SIGN(CP73-CR73)=SIGN($G73-$I73),1,0)+IF(CP73=$G73,IF(CR73=$I73,2,0),0))</f>
        <v/>
      </c>
      <c r="CT73" s="3">
        <v>3</v>
      </c>
      <c r="CU73" s="1" t="s">
        <v>1</v>
      </c>
      <c r="CV73" s="7">
        <v>0</v>
      </c>
      <c r="CW73" s="11" t="str">
        <f>IF(ISBLANK($I73)=TRUE,"",IF(SIGN(CT73-CV73)=SIGN($G73-$I73),1,0)+IF(CT73=$G73,IF(CV73=$I73,2,0),0))</f>
        <v/>
      </c>
      <c r="CX73" s="3">
        <v>2</v>
      </c>
      <c r="CY73" s="1" t="s">
        <v>1</v>
      </c>
      <c r="CZ73" s="7">
        <v>0</v>
      </c>
      <c r="DA73" s="11" t="str">
        <f>IF(ISBLANK($I73)=TRUE,"",IF(SIGN(CX73-CZ73)=SIGN($G73-$I73),1,0)+IF(CX73=$G73,IF(CZ73=$I73,2,0),0))</f>
        <v/>
      </c>
      <c r="DB73" s="3">
        <v>8</v>
      </c>
      <c r="DC73" s="1" t="s">
        <v>1</v>
      </c>
      <c r="DD73" s="7">
        <v>0</v>
      </c>
      <c r="DE73" s="11" t="str">
        <f>IF(ISBLANK($I73)=TRUE,"",IF(SIGN(DB73-DD73)=SIGN($G73-$I73),1,0)+IF(DB73=$G73,IF(DD73=$I73,2,0),0))</f>
        <v/>
      </c>
      <c r="DF73" s="3">
        <v>3</v>
      </c>
      <c r="DG73" s="1" t="s">
        <v>1</v>
      </c>
      <c r="DH73" s="7">
        <v>1</v>
      </c>
      <c r="DI73" s="11" t="str">
        <f>IF(ISBLANK($I73)=TRUE,"",IF(SIGN(DF73-DH73)=SIGN($G73-$I73),1,0)+IF(DF73=$G73,IF(DH73=$I73,2,0),0))</f>
        <v/>
      </c>
    </row>
    <row r="74" spans="2:113" x14ac:dyDescent="0.3">
      <c r="B74" s="12">
        <v>46191</v>
      </c>
      <c r="C74" s="7" t="s">
        <v>64</v>
      </c>
      <c r="D74" s="3" t="s">
        <v>56</v>
      </c>
      <c r="E74" s="1" t="s">
        <v>1</v>
      </c>
      <c r="F74" s="5" t="s">
        <v>57</v>
      </c>
      <c r="G74" s="3"/>
      <c r="H74" s="1" t="s">
        <v>1</v>
      </c>
      <c r="I74" s="5"/>
      <c r="J74" s="3">
        <v>0</v>
      </c>
      <c r="K74" s="1" t="s">
        <v>1</v>
      </c>
      <c r="L74" s="7">
        <v>2</v>
      </c>
      <c r="M74" s="9" t="str">
        <f t="shared" ref="M74:M78" si="260">IF(ISBLANK($G74)=TRUE,"",IF(SIGN(J74-L74)=SIGN($G74-$I74),1,0)+IF(J74=$G74,IF(L74=$I74,2,0),0))</f>
        <v/>
      </c>
      <c r="N74" s="3">
        <v>0</v>
      </c>
      <c r="O74" s="1" t="s">
        <v>1</v>
      </c>
      <c r="P74" s="7">
        <v>2</v>
      </c>
      <c r="Q74" s="9" t="str">
        <f t="shared" ref="Q74:Q78" si="261">IF(ISBLANK($G74)=TRUE,"",IF(SIGN(N74-P74)=SIGN($G74-$I74),1,0)+IF(N74=$G74,IF(P74=$I74,2,0),0))</f>
        <v/>
      </c>
      <c r="R74" s="3">
        <v>0</v>
      </c>
      <c r="S74" s="1" t="s">
        <v>1</v>
      </c>
      <c r="T74" s="7">
        <v>2</v>
      </c>
      <c r="U74" s="9" t="str">
        <f t="shared" ref="U74:U78" si="262">IF(ISBLANK($G74)=TRUE,"",IF(SIGN(R74-T74)=SIGN($G74-$I74),1,0)+IF(R74=$G74,IF(T74=$I74,2,0),0))</f>
        <v/>
      </c>
      <c r="V74" s="3">
        <v>0</v>
      </c>
      <c r="W74" s="1" t="s">
        <v>1</v>
      </c>
      <c r="X74" s="7">
        <v>3</v>
      </c>
      <c r="Y74" s="9" t="str">
        <f t="shared" ref="Y74:Y78" si="263">IF(ISBLANK($G74)=TRUE,"",IF(SIGN(V74-X74)=SIGN($G74-$I74),1,0)+IF(V74=$G74,IF(X74=$I74,2,0),0))</f>
        <v/>
      </c>
      <c r="Z74" s="3">
        <v>0</v>
      </c>
      <c r="AA74" s="1" t="s">
        <v>1</v>
      </c>
      <c r="AB74" s="7">
        <v>2</v>
      </c>
      <c r="AC74" s="9" t="str">
        <f t="shared" ref="AC74:AC78" si="264">IF(ISBLANK($G74)=TRUE,"",IF(SIGN(Z74-AB74)=SIGN($G74-$I74),1,0)+IF(Z74=$G74,IF(AB74=$I74,2,0),0))</f>
        <v/>
      </c>
      <c r="AD74" s="3">
        <v>1</v>
      </c>
      <c r="AE74" s="1" t="s">
        <v>1</v>
      </c>
      <c r="AF74" s="7">
        <v>3</v>
      </c>
      <c r="AG74" s="9" t="str">
        <f t="shared" ref="AG74:AG78" si="265">IF(ISBLANK($G74)=TRUE,"",IF(SIGN(AD74-AF74)=SIGN($G74-$I74),1,0)+IF(AD74=$G74,IF(AF74=$I74,2,0),0))</f>
        <v/>
      </c>
      <c r="AH74" s="3">
        <v>0</v>
      </c>
      <c r="AI74" s="1" t="s">
        <v>1</v>
      </c>
      <c r="AJ74" s="7">
        <v>2</v>
      </c>
      <c r="AK74" s="9" t="str">
        <f t="shared" ref="AK74:AK78" si="266">IF(ISBLANK($G74)=TRUE,"",IF(SIGN(AH74-AJ74)=SIGN($G74-$I74),1,0)+IF(AH74=$G74,IF(AJ74=$I74,2,0),0))</f>
        <v/>
      </c>
      <c r="AL74" s="3">
        <v>0</v>
      </c>
      <c r="AM74" s="1" t="s">
        <v>1</v>
      </c>
      <c r="AN74" s="7">
        <v>1</v>
      </c>
      <c r="AO74" s="9" t="str">
        <f t="shared" ref="AO74:AO78" si="267">IF(ISBLANK($G74)=TRUE,"",IF(SIGN(AL74-AN74)=SIGN($G74-$I74),1,0)+IF(AL74=$G74,IF(AN74=$I74,2,0),0))</f>
        <v/>
      </c>
      <c r="AP74" s="3">
        <v>1</v>
      </c>
      <c r="AQ74" s="1" t="s">
        <v>1</v>
      </c>
      <c r="AR74" s="7">
        <v>3</v>
      </c>
      <c r="AS74" s="9" t="str">
        <f t="shared" ref="AS74:AS78" si="268">IF(ISBLANK($G74)=TRUE,"",IF(SIGN(AP74-AR74)=SIGN($G74-$I74),1,0)+IF(AP74=$G74,IF(AR74=$I74,2,0),0))</f>
        <v/>
      </c>
      <c r="AT74" s="3">
        <v>0</v>
      </c>
      <c r="AU74" s="1" t="s">
        <v>1</v>
      </c>
      <c r="AV74" s="7">
        <v>1</v>
      </c>
      <c r="AW74" s="9" t="str">
        <f t="shared" ref="AW74:AW78" si="269">IF(ISBLANK($G74)=TRUE,"",IF(SIGN(AT74-AV74)=SIGN($G74-$I74),1,0)+IF(AT74=$G74,IF(AV74=$I74,2,0),0))</f>
        <v/>
      </c>
      <c r="AX74" s="3">
        <v>1</v>
      </c>
      <c r="AY74" s="1" t="s">
        <v>1</v>
      </c>
      <c r="AZ74" s="7">
        <v>3</v>
      </c>
      <c r="BA74" s="9" t="str">
        <f t="shared" ref="BA74:BA78" si="270">IF(ISBLANK($G74)=TRUE,"",IF(SIGN(AX74-AZ74)=SIGN($G74-$I74),1,0)+IF(AX74=$G74,IF(AZ74=$I74,2,0),0))</f>
        <v/>
      </c>
      <c r="BB74" s="3">
        <v>0</v>
      </c>
      <c r="BC74" s="1" t="s">
        <v>1</v>
      </c>
      <c r="BD74" s="7">
        <v>2</v>
      </c>
      <c r="BE74" s="9" t="str">
        <f t="shared" ref="BE74:BE78" si="271">IF(ISBLANK($G74)=TRUE,"",IF(SIGN(BB74-BD74)=SIGN($G74-$I74),1,0)+IF(BB74=$G74,IF(BD74=$I74,2,0),0))</f>
        <v/>
      </c>
      <c r="BF74" s="3">
        <v>0</v>
      </c>
      <c r="BG74" s="1" t="s">
        <v>1</v>
      </c>
      <c r="BH74" s="7">
        <v>3</v>
      </c>
      <c r="BI74" s="9" t="str">
        <f t="shared" ref="BI74:BI78" si="272">IF(ISBLANK($G74)=TRUE,"",IF(SIGN(BF74-BH74)=SIGN($G74-$I74),1,0)+IF(BF74=$G74,IF(BH74=$I74,2,0),0))</f>
        <v/>
      </c>
      <c r="BJ74" s="3">
        <v>0</v>
      </c>
      <c r="BK74" s="1" t="s">
        <v>1</v>
      </c>
      <c r="BL74" s="7">
        <v>3</v>
      </c>
      <c r="BM74" s="9" t="str">
        <f t="shared" ref="BM74:BM78" si="273">IF(ISBLANK($G74)=TRUE,"",IF(SIGN(BJ74-BL74)=SIGN($G74-$I74),1,0)+IF(BJ74=$G74,IF(BL74=$I74,2,0),0))</f>
        <v/>
      </c>
      <c r="BN74" s="3">
        <v>0</v>
      </c>
      <c r="BO74" s="1" t="s">
        <v>1</v>
      </c>
      <c r="BP74" s="7">
        <v>3</v>
      </c>
      <c r="BQ74" s="9" t="str">
        <f t="shared" ref="BQ74:BQ78" si="274">IF(ISBLANK($G74)=TRUE,"",IF(SIGN(BN74-BP74)=SIGN($G74-$I74),1,0)+IF(BN74=$G74,IF(BP74=$I74,2,0),0))</f>
        <v/>
      </c>
      <c r="BR74" s="3">
        <v>0</v>
      </c>
      <c r="BS74" s="1" t="s">
        <v>1</v>
      </c>
      <c r="BT74" s="7">
        <v>2</v>
      </c>
      <c r="BU74" s="9" t="str">
        <f t="shared" ref="BU74:BU78" si="275">IF(ISBLANK($G74)=TRUE,"",IF(SIGN(BR74-BT74)=SIGN($G74-$I74),1,0)+IF(BR74=$G74,IF(BT74=$I74,2,0),0))</f>
        <v/>
      </c>
      <c r="BV74" s="3">
        <v>0</v>
      </c>
      <c r="BW74" s="1" t="s">
        <v>1</v>
      </c>
      <c r="BX74" s="7">
        <v>3</v>
      </c>
      <c r="BY74" s="9" t="str">
        <f t="shared" ref="BY74:BY78" si="276">IF(ISBLANK($G74)=TRUE,"",IF(SIGN(BV74-BX74)=SIGN($G74-$I74),1,0)+IF(BV74=$G74,IF(BX74=$I74,2,0),0))</f>
        <v/>
      </c>
      <c r="BZ74" s="3">
        <v>1</v>
      </c>
      <c r="CA74" s="1" t="s">
        <v>1</v>
      </c>
      <c r="CB74" s="7">
        <v>2</v>
      </c>
      <c r="CC74" s="9" t="str">
        <f t="shared" ref="CC74:CC78" si="277">IF(ISBLANK($G74)=TRUE,"",IF(SIGN(BZ74-CB74)=SIGN($G74-$I74),1,0)+IF(BZ74=$G74,IF(CB74=$I74,2,0),0))</f>
        <v/>
      </c>
      <c r="CD74" s="3">
        <v>0</v>
      </c>
      <c r="CE74" s="1" t="s">
        <v>1</v>
      </c>
      <c r="CF74" s="7">
        <v>2</v>
      </c>
      <c r="CG74" s="9" t="str">
        <f t="shared" ref="CG74:CG78" si="278">IF(ISBLANK($G74)=TRUE,"",IF(SIGN(CD74-CF74)=SIGN($G74-$I74),1,0)+IF(CD74=$G74,IF(CF74=$I74,2,0),0))</f>
        <v/>
      </c>
      <c r="CH74" s="3">
        <v>0</v>
      </c>
      <c r="CI74" s="1" t="s">
        <v>1</v>
      </c>
      <c r="CJ74" s="7">
        <v>3</v>
      </c>
      <c r="CK74" s="9" t="str">
        <f t="shared" ref="CK74:CK78" si="279">IF(ISBLANK($G74)=TRUE,"",IF(SIGN(CH74-CJ74)=SIGN($G74-$I74),1,0)+IF(CH74=$G74,IF(CJ74=$I74,2,0),0))</f>
        <v/>
      </c>
      <c r="CL74" s="3">
        <v>1</v>
      </c>
      <c r="CM74" s="1" t="s">
        <v>1</v>
      </c>
      <c r="CN74" s="7">
        <v>0</v>
      </c>
      <c r="CO74" s="9" t="str">
        <f t="shared" ref="CO74:CO78" si="280">IF(ISBLANK($G74)=TRUE,"",IF(SIGN(CL74-CN74)=SIGN($G74-$I74),1,0)+IF(CL74=$G74,IF(CN74=$I74,2,0),0))</f>
        <v/>
      </c>
      <c r="CP74" s="3">
        <v>1</v>
      </c>
      <c r="CQ74" s="1" t="s">
        <v>1</v>
      </c>
      <c r="CR74" s="7">
        <v>3</v>
      </c>
      <c r="CS74" s="9" t="str">
        <f t="shared" ref="CS74:CS78" si="281">IF(ISBLANK($G74)=TRUE,"",IF(SIGN(CP74-CR74)=SIGN($G74-$I74),1,0)+IF(CP74=$G74,IF(CR74=$I74,2,0),0))</f>
        <v/>
      </c>
      <c r="CT74" s="3">
        <v>0</v>
      </c>
      <c r="CU74" s="1" t="s">
        <v>1</v>
      </c>
      <c r="CV74" s="7">
        <v>1</v>
      </c>
      <c r="CW74" s="9" t="str">
        <f t="shared" ref="CW74:CW78" si="282">IF(ISBLANK($G74)=TRUE,"",IF(SIGN(CT74-CV74)=SIGN($G74-$I74),1,0)+IF(CT74=$G74,IF(CV74=$I74,2,0),0))</f>
        <v/>
      </c>
      <c r="CX74" s="3">
        <v>0</v>
      </c>
      <c r="CY74" s="1" t="s">
        <v>1</v>
      </c>
      <c r="CZ74" s="7">
        <v>2</v>
      </c>
      <c r="DA74" s="9" t="str">
        <f t="shared" ref="DA74:DA78" si="283">IF(ISBLANK($G74)=TRUE,"",IF(SIGN(CX74-CZ74)=SIGN($G74-$I74),1,0)+IF(CX74=$G74,IF(CZ74=$I74,2,0),0))</f>
        <v/>
      </c>
      <c r="DB74" s="3">
        <v>1</v>
      </c>
      <c r="DC74" s="1" t="s">
        <v>1</v>
      </c>
      <c r="DD74" s="7">
        <v>2</v>
      </c>
      <c r="DE74" s="9" t="str">
        <f t="shared" ref="DE74:DE78" si="284">IF(ISBLANK($G74)=TRUE,"",IF(SIGN(DB74-DD74)=SIGN($G74-$I74),1,0)+IF(DB74=$G74,IF(DD74=$I74,2,0),0))</f>
        <v/>
      </c>
      <c r="DF74" s="3">
        <v>1</v>
      </c>
      <c r="DG74" s="1" t="s">
        <v>1</v>
      </c>
      <c r="DH74" s="7">
        <v>3</v>
      </c>
      <c r="DI74" s="9" t="str">
        <f t="shared" ref="DI74:DI78" si="285">IF(ISBLANK($G74)=TRUE,"",IF(SIGN(DF74-DH74)=SIGN($G74-$I74),1,0)+IF(DF74=$G74,IF(DH74=$I74,2,0),0))</f>
        <v/>
      </c>
    </row>
    <row r="75" spans="2:113" x14ac:dyDescent="0.3">
      <c r="B75" s="12">
        <v>46196</v>
      </c>
      <c r="C75" s="7" t="s">
        <v>71</v>
      </c>
      <c r="D75" s="3" t="s">
        <v>54</v>
      </c>
      <c r="E75" s="1" t="s">
        <v>1</v>
      </c>
      <c r="F75" s="5" t="s">
        <v>56</v>
      </c>
      <c r="G75" s="3"/>
      <c r="H75" s="1" t="s">
        <v>1</v>
      </c>
      <c r="I75" s="5"/>
      <c r="J75" s="3">
        <v>2</v>
      </c>
      <c r="K75" s="1" t="s">
        <v>1</v>
      </c>
      <c r="L75" s="7">
        <v>1</v>
      </c>
      <c r="M75" s="9" t="str">
        <f t="shared" si="260"/>
        <v/>
      </c>
      <c r="N75" s="3">
        <v>2</v>
      </c>
      <c r="O75" s="1" t="s">
        <v>1</v>
      </c>
      <c r="P75" s="7">
        <v>0</v>
      </c>
      <c r="Q75" s="9" t="str">
        <f t="shared" si="261"/>
        <v/>
      </c>
      <c r="R75" s="3">
        <v>2</v>
      </c>
      <c r="S75" s="1" t="s">
        <v>1</v>
      </c>
      <c r="T75" s="7">
        <v>0</v>
      </c>
      <c r="U75" s="9" t="str">
        <f t="shared" si="262"/>
        <v/>
      </c>
      <c r="V75" s="3">
        <v>2</v>
      </c>
      <c r="W75" s="1" t="s">
        <v>1</v>
      </c>
      <c r="X75" s="7">
        <v>0</v>
      </c>
      <c r="Y75" s="9" t="str">
        <f t="shared" si="263"/>
        <v/>
      </c>
      <c r="Z75" s="3">
        <v>3</v>
      </c>
      <c r="AA75" s="1" t="s">
        <v>1</v>
      </c>
      <c r="AB75" s="7">
        <v>0</v>
      </c>
      <c r="AC75" s="9" t="str">
        <f t="shared" si="264"/>
        <v/>
      </c>
      <c r="AD75" s="3">
        <v>2</v>
      </c>
      <c r="AE75" s="1" t="s">
        <v>1</v>
      </c>
      <c r="AF75" s="7">
        <v>0</v>
      </c>
      <c r="AG75" s="9" t="str">
        <f t="shared" si="265"/>
        <v/>
      </c>
      <c r="AH75" s="3">
        <v>3</v>
      </c>
      <c r="AI75" s="1" t="s">
        <v>1</v>
      </c>
      <c r="AJ75" s="7">
        <v>0</v>
      </c>
      <c r="AK75" s="9" t="str">
        <f t="shared" si="266"/>
        <v/>
      </c>
      <c r="AL75" s="3">
        <v>1</v>
      </c>
      <c r="AM75" s="1" t="s">
        <v>1</v>
      </c>
      <c r="AN75" s="7">
        <v>0</v>
      </c>
      <c r="AO75" s="9" t="str">
        <f t="shared" si="267"/>
        <v/>
      </c>
      <c r="AP75" s="3">
        <v>2</v>
      </c>
      <c r="AQ75" s="1" t="s">
        <v>1</v>
      </c>
      <c r="AR75" s="7">
        <v>0</v>
      </c>
      <c r="AS75" s="9" t="str">
        <f t="shared" si="268"/>
        <v/>
      </c>
      <c r="AT75" s="3">
        <v>2</v>
      </c>
      <c r="AU75" s="1" t="s">
        <v>1</v>
      </c>
      <c r="AV75" s="7">
        <v>0</v>
      </c>
      <c r="AW75" s="9" t="str">
        <f t="shared" si="269"/>
        <v/>
      </c>
      <c r="AX75" s="3">
        <v>2</v>
      </c>
      <c r="AY75" s="1" t="s">
        <v>1</v>
      </c>
      <c r="AZ75" s="7">
        <v>0</v>
      </c>
      <c r="BA75" s="9" t="str">
        <f t="shared" si="270"/>
        <v/>
      </c>
      <c r="BB75" s="3">
        <v>3</v>
      </c>
      <c r="BC75" s="1" t="s">
        <v>1</v>
      </c>
      <c r="BD75" s="7">
        <v>0</v>
      </c>
      <c r="BE75" s="9" t="str">
        <f t="shared" si="271"/>
        <v/>
      </c>
      <c r="BF75" s="3">
        <v>3</v>
      </c>
      <c r="BG75" s="1" t="s">
        <v>1</v>
      </c>
      <c r="BH75" s="7">
        <v>0</v>
      </c>
      <c r="BI75" s="9" t="str">
        <f t="shared" si="272"/>
        <v/>
      </c>
      <c r="BJ75" s="3">
        <v>2</v>
      </c>
      <c r="BK75" s="1" t="s">
        <v>1</v>
      </c>
      <c r="BL75" s="7">
        <v>0</v>
      </c>
      <c r="BM75" s="9" t="str">
        <f t="shared" si="273"/>
        <v/>
      </c>
      <c r="BN75" s="3">
        <v>3</v>
      </c>
      <c r="BO75" s="1" t="s">
        <v>1</v>
      </c>
      <c r="BP75" s="7">
        <v>0</v>
      </c>
      <c r="BQ75" s="9" t="str">
        <f t="shared" si="274"/>
        <v/>
      </c>
      <c r="BR75" s="3">
        <v>2</v>
      </c>
      <c r="BS75" s="1" t="s">
        <v>1</v>
      </c>
      <c r="BT75" s="7">
        <v>0</v>
      </c>
      <c r="BU75" s="9" t="str">
        <f t="shared" si="275"/>
        <v/>
      </c>
      <c r="BV75" s="3">
        <v>3</v>
      </c>
      <c r="BW75" s="1" t="s">
        <v>1</v>
      </c>
      <c r="BX75" s="7">
        <v>1</v>
      </c>
      <c r="BY75" s="9" t="str">
        <f t="shared" si="276"/>
        <v/>
      </c>
      <c r="BZ75" s="3">
        <v>3</v>
      </c>
      <c r="CA75" s="1" t="s">
        <v>1</v>
      </c>
      <c r="CB75" s="7">
        <v>1</v>
      </c>
      <c r="CC75" s="9" t="str">
        <f t="shared" si="277"/>
        <v/>
      </c>
      <c r="CD75" s="3">
        <v>3</v>
      </c>
      <c r="CE75" s="1" t="s">
        <v>1</v>
      </c>
      <c r="CF75" s="7">
        <v>0</v>
      </c>
      <c r="CG75" s="9" t="str">
        <f t="shared" si="278"/>
        <v/>
      </c>
      <c r="CH75" s="3">
        <v>4</v>
      </c>
      <c r="CI75" s="1" t="s">
        <v>1</v>
      </c>
      <c r="CJ75" s="7">
        <v>0</v>
      </c>
      <c r="CK75" s="9" t="str">
        <f t="shared" si="279"/>
        <v/>
      </c>
      <c r="CL75" s="3">
        <v>2</v>
      </c>
      <c r="CM75" s="1" t="s">
        <v>1</v>
      </c>
      <c r="CN75" s="7">
        <v>1</v>
      </c>
      <c r="CO75" s="9" t="str">
        <f t="shared" si="280"/>
        <v/>
      </c>
      <c r="CP75" s="3">
        <v>3</v>
      </c>
      <c r="CQ75" s="1" t="s">
        <v>1</v>
      </c>
      <c r="CR75" s="7">
        <v>0</v>
      </c>
      <c r="CS75" s="9" t="str">
        <f t="shared" si="281"/>
        <v/>
      </c>
      <c r="CT75" s="3">
        <v>2</v>
      </c>
      <c r="CU75" s="1" t="s">
        <v>1</v>
      </c>
      <c r="CV75" s="7">
        <v>0</v>
      </c>
      <c r="CW75" s="9" t="str">
        <f t="shared" si="282"/>
        <v/>
      </c>
      <c r="CX75" s="3">
        <v>2</v>
      </c>
      <c r="CY75" s="1" t="s">
        <v>1</v>
      </c>
      <c r="CZ75" s="7">
        <v>0</v>
      </c>
      <c r="DA75" s="9" t="str">
        <f t="shared" si="283"/>
        <v/>
      </c>
      <c r="DB75" s="3">
        <v>4</v>
      </c>
      <c r="DC75" s="1" t="s">
        <v>1</v>
      </c>
      <c r="DD75" s="7">
        <v>0</v>
      </c>
      <c r="DE75" s="9" t="str">
        <f t="shared" si="284"/>
        <v/>
      </c>
      <c r="DF75" s="3">
        <v>2</v>
      </c>
      <c r="DG75" s="1" t="s">
        <v>1</v>
      </c>
      <c r="DH75" s="7">
        <v>0</v>
      </c>
      <c r="DI75" s="9" t="str">
        <f t="shared" si="285"/>
        <v/>
      </c>
    </row>
    <row r="76" spans="2:113" x14ac:dyDescent="0.3">
      <c r="B76" s="12">
        <v>46197</v>
      </c>
      <c r="C76" s="7" t="s">
        <v>64</v>
      </c>
      <c r="D76" s="3" t="s">
        <v>57</v>
      </c>
      <c r="E76" s="1" t="s">
        <v>1</v>
      </c>
      <c r="F76" s="5" t="s">
        <v>55</v>
      </c>
      <c r="G76" s="3"/>
      <c r="H76" s="1" t="s">
        <v>1</v>
      </c>
      <c r="I76" s="5"/>
      <c r="J76" s="3">
        <v>2</v>
      </c>
      <c r="K76" s="1" t="s">
        <v>1</v>
      </c>
      <c r="L76" s="7">
        <v>1</v>
      </c>
      <c r="M76" s="9" t="str">
        <f t="shared" si="260"/>
        <v/>
      </c>
      <c r="N76" s="3">
        <v>2</v>
      </c>
      <c r="O76" s="1" t="s">
        <v>1</v>
      </c>
      <c r="P76" s="7">
        <v>0</v>
      </c>
      <c r="Q76" s="9" t="str">
        <f t="shared" si="261"/>
        <v/>
      </c>
      <c r="R76" s="3">
        <v>1</v>
      </c>
      <c r="S76" s="1" t="s">
        <v>1</v>
      </c>
      <c r="T76" s="7">
        <v>0</v>
      </c>
      <c r="U76" s="9" t="str">
        <f t="shared" si="262"/>
        <v/>
      </c>
      <c r="V76" s="3">
        <v>2</v>
      </c>
      <c r="W76" s="1" t="s">
        <v>1</v>
      </c>
      <c r="X76" s="7">
        <v>0</v>
      </c>
      <c r="Y76" s="9" t="str">
        <f t="shared" si="263"/>
        <v/>
      </c>
      <c r="Z76" s="3">
        <v>3</v>
      </c>
      <c r="AA76" s="1" t="s">
        <v>1</v>
      </c>
      <c r="AB76" s="7">
        <v>0</v>
      </c>
      <c r="AC76" s="9" t="str">
        <f t="shared" si="264"/>
        <v/>
      </c>
      <c r="AD76" s="3">
        <v>2</v>
      </c>
      <c r="AE76" s="1" t="s">
        <v>1</v>
      </c>
      <c r="AF76" s="7">
        <v>0</v>
      </c>
      <c r="AG76" s="9" t="str">
        <f t="shared" si="265"/>
        <v/>
      </c>
      <c r="AH76" s="3">
        <v>2</v>
      </c>
      <c r="AI76" s="1" t="s">
        <v>1</v>
      </c>
      <c r="AJ76" s="7">
        <v>0</v>
      </c>
      <c r="AK76" s="9" t="str">
        <f t="shared" si="266"/>
        <v/>
      </c>
      <c r="AL76" s="3">
        <v>1</v>
      </c>
      <c r="AM76" s="1" t="s">
        <v>1</v>
      </c>
      <c r="AN76" s="7">
        <v>0</v>
      </c>
      <c r="AO76" s="9" t="str">
        <f t="shared" si="267"/>
        <v/>
      </c>
      <c r="AP76" s="3">
        <v>2</v>
      </c>
      <c r="AQ76" s="1" t="s">
        <v>1</v>
      </c>
      <c r="AR76" s="7">
        <v>2</v>
      </c>
      <c r="AS76" s="9" t="str">
        <f t="shared" si="268"/>
        <v/>
      </c>
      <c r="AT76" s="3">
        <v>2</v>
      </c>
      <c r="AU76" s="1" t="s">
        <v>1</v>
      </c>
      <c r="AV76" s="7">
        <v>2</v>
      </c>
      <c r="AW76" s="9" t="str">
        <f t="shared" si="269"/>
        <v/>
      </c>
      <c r="AX76" s="3">
        <v>1</v>
      </c>
      <c r="AY76" s="1" t="s">
        <v>1</v>
      </c>
      <c r="AZ76" s="7">
        <v>0</v>
      </c>
      <c r="BA76" s="9" t="str">
        <f t="shared" si="270"/>
        <v/>
      </c>
      <c r="BB76" s="3">
        <v>1</v>
      </c>
      <c r="BC76" s="1" t="s">
        <v>1</v>
      </c>
      <c r="BD76" s="7">
        <v>1</v>
      </c>
      <c r="BE76" s="9" t="str">
        <f t="shared" si="271"/>
        <v/>
      </c>
      <c r="BF76" s="3">
        <v>1</v>
      </c>
      <c r="BG76" s="1" t="s">
        <v>1</v>
      </c>
      <c r="BH76" s="7">
        <v>0</v>
      </c>
      <c r="BI76" s="9" t="str">
        <f t="shared" si="272"/>
        <v/>
      </c>
      <c r="BJ76" s="3">
        <v>2</v>
      </c>
      <c r="BK76" s="1" t="s">
        <v>1</v>
      </c>
      <c r="BL76" s="7">
        <v>1</v>
      </c>
      <c r="BM76" s="9" t="str">
        <f t="shared" si="273"/>
        <v/>
      </c>
      <c r="BN76" s="3">
        <v>2</v>
      </c>
      <c r="BO76" s="1" t="s">
        <v>1</v>
      </c>
      <c r="BP76" s="7">
        <v>1</v>
      </c>
      <c r="BQ76" s="9" t="str">
        <f t="shared" si="274"/>
        <v/>
      </c>
      <c r="BR76" s="3">
        <v>1</v>
      </c>
      <c r="BS76" s="1" t="s">
        <v>1</v>
      </c>
      <c r="BT76" s="7">
        <v>1</v>
      </c>
      <c r="BU76" s="9" t="str">
        <f t="shared" si="275"/>
        <v/>
      </c>
      <c r="BV76" s="3">
        <v>2</v>
      </c>
      <c r="BW76" s="1" t="s">
        <v>1</v>
      </c>
      <c r="BX76" s="7">
        <v>0</v>
      </c>
      <c r="BY76" s="9" t="str">
        <f t="shared" si="276"/>
        <v/>
      </c>
      <c r="BZ76" s="3">
        <v>3</v>
      </c>
      <c r="CA76" s="1" t="s">
        <v>1</v>
      </c>
      <c r="CB76" s="7">
        <v>1</v>
      </c>
      <c r="CC76" s="9" t="str">
        <f t="shared" si="277"/>
        <v/>
      </c>
      <c r="CD76" s="3">
        <v>2</v>
      </c>
      <c r="CE76" s="1" t="s">
        <v>1</v>
      </c>
      <c r="CF76" s="7">
        <v>1</v>
      </c>
      <c r="CG76" s="9" t="str">
        <f t="shared" si="278"/>
        <v/>
      </c>
      <c r="CH76" s="3">
        <v>2</v>
      </c>
      <c r="CI76" s="1" t="s">
        <v>1</v>
      </c>
      <c r="CJ76" s="7">
        <v>0</v>
      </c>
      <c r="CK76" s="9" t="str">
        <f t="shared" si="279"/>
        <v/>
      </c>
      <c r="CL76" s="3">
        <v>0</v>
      </c>
      <c r="CM76" s="1" t="s">
        <v>1</v>
      </c>
      <c r="CN76" s="7">
        <v>2</v>
      </c>
      <c r="CO76" s="9" t="str">
        <f t="shared" si="280"/>
        <v/>
      </c>
      <c r="CP76" s="3">
        <v>1</v>
      </c>
      <c r="CQ76" s="1" t="s">
        <v>1</v>
      </c>
      <c r="CR76" s="7">
        <v>0</v>
      </c>
      <c r="CS76" s="9" t="str">
        <f t="shared" si="281"/>
        <v/>
      </c>
      <c r="CT76" s="3">
        <v>2</v>
      </c>
      <c r="CU76" s="1" t="s">
        <v>1</v>
      </c>
      <c r="CV76" s="7">
        <v>0</v>
      </c>
      <c r="CW76" s="9" t="str">
        <f t="shared" si="282"/>
        <v/>
      </c>
      <c r="CX76" s="3">
        <v>2</v>
      </c>
      <c r="CY76" s="1" t="s">
        <v>1</v>
      </c>
      <c r="CZ76" s="7">
        <v>1</v>
      </c>
      <c r="DA76" s="9" t="str">
        <f t="shared" si="283"/>
        <v/>
      </c>
      <c r="DB76" s="3">
        <v>2</v>
      </c>
      <c r="DC76" s="1" t="s">
        <v>1</v>
      </c>
      <c r="DD76" s="7">
        <v>0</v>
      </c>
      <c r="DE76" s="9" t="str">
        <f t="shared" si="284"/>
        <v/>
      </c>
      <c r="DF76" s="3">
        <v>2</v>
      </c>
      <c r="DG76" s="1" t="s">
        <v>1</v>
      </c>
      <c r="DH76" s="7">
        <v>1</v>
      </c>
      <c r="DI76" s="9" t="str">
        <f t="shared" si="285"/>
        <v/>
      </c>
    </row>
    <row r="77" spans="2:113" x14ac:dyDescent="0.3">
      <c r="B77" s="12">
        <v>46201</v>
      </c>
      <c r="C77" s="7" t="s">
        <v>76</v>
      </c>
      <c r="D77" s="3" t="s">
        <v>57</v>
      </c>
      <c r="E77" s="1" t="s">
        <v>1</v>
      </c>
      <c r="F77" s="5" t="s">
        <v>54</v>
      </c>
      <c r="G77" s="3"/>
      <c r="H77" s="1" t="s">
        <v>1</v>
      </c>
      <c r="I77" s="5"/>
      <c r="J77" s="3">
        <v>1</v>
      </c>
      <c r="K77" s="1" t="s">
        <v>1</v>
      </c>
      <c r="L77" s="7">
        <v>1</v>
      </c>
      <c r="M77" s="9" t="str">
        <f t="shared" si="260"/>
        <v/>
      </c>
      <c r="N77" s="3">
        <v>1</v>
      </c>
      <c r="O77" s="1" t="s">
        <v>1</v>
      </c>
      <c r="P77" s="7">
        <v>2</v>
      </c>
      <c r="Q77" s="9" t="str">
        <f t="shared" si="261"/>
        <v/>
      </c>
      <c r="R77" s="3">
        <v>1</v>
      </c>
      <c r="S77" s="1" t="s">
        <v>1</v>
      </c>
      <c r="T77" s="7">
        <v>2</v>
      </c>
      <c r="U77" s="9" t="str">
        <f t="shared" si="262"/>
        <v/>
      </c>
      <c r="V77" s="3">
        <v>1</v>
      </c>
      <c r="W77" s="1" t="s">
        <v>1</v>
      </c>
      <c r="X77" s="7">
        <v>1</v>
      </c>
      <c r="Y77" s="9" t="str">
        <f t="shared" si="263"/>
        <v/>
      </c>
      <c r="Z77" s="3">
        <v>2</v>
      </c>
      <c r="AA77" s="1" t="s">
        <v>1</v>
      </c>
      <c r="AB77" s="7">
        <v>2</v>
      </c>
      <c r="AC77" s="9" t="str">
        <f t="shared" si="264"/>
        <v/>
      </c>
      <c r="AD77" s="3">
        <v>1</v>
      </c>
      <c r="AE77" s="1" t="s">
        <v>1</v>
      </c>
      <c r="AF77" s="7">
        <v>2</v>
      </c>
      <c r="AG77" s="9" t="str">
        <f t="shared" si="265"/>
        <v/>
      </c>
      <c r="AH77" s="3">
        <v>1</v>
      </c>
      <c r="AI77" s="1" t="s">
        <v>1</v>
      </c>
      <c r="AJ77" s="7">
        <v>1</v>
      </c>
      <c r="AK77" s="9" t="str">
        <f t="shared" si="266"/>
        <v/>
      </c>
      <c r="AL77" s="3">
        <v>0</v>
      </c>
      <c r="AM77" s="1" t="s">
        <v>1</v>
      </c>
      <c r="AN77" s="7">
        <v>0</v>
      </c>
      <c r="AO77" s="9" t="str">
        <f t="shared" si="267"/>
        <v/>
      </c>
      <c r="AP77" s="3">
        <v>1</v>
      </c>
      <c r="AQ77" s="1" t="s">
        <v>1</v>
      </c>
      <c r="AR77" s="7">
        <v>2</v>
      </c>
      <c r="AS77" s="9" t="str">
        <f t="shared" si="268"/>
        <v/>
      </c>
      <c r="AT77" s="3">
        <v>2</v>
      </c>
      <c r="AU77" s="1" t="s">
        <v>1</v>
      </c>
      <c r="AV77" s="7">
        <v>3</v>
      </c>
      <c r="AW77" s="9" t="str">
        <f t="shared" si="269"/>
        <v/>
      </c>
      <c r="AX77" s="3">
        <v>1</v>
      </c>
      <c r="AY77" s="1" t="s">
        <v>1</v>
      </c>
      <c r="AZ77" s="7">
        <v>2</v>
      </c>
      <c r="BA77" s="9" t="str">
        <f t="shared" si="270"/>
        <v/>
      </c>
      <c r="BB77" s="3">
        <v>1</v>
      </c>
      <c r="BC77" s="1" t="s">
        <v>1</v>
      </c>
      <c r="BD77" s="7">
        <v>1</v>
      </c>
      <c r="BE77" s="9" t="str">
        <f t="shared" si="271"/>
        <v/>
      </c>
      <c r="BF77" s="3">
        <v>1</v>
      </c>
      <c r="BG77" s="1" t="s">
        <v>1</v>
      </c>
      <c r="BH77" s="7">
        <v>0</v>
      </c>
      <c r="BI77" s="9" t="str">
        <f t="shared" si="272"/>
        <v/>
      </c>
      <c r="BJ77" s="3">
        <v>1</v>
      </c>
      <c r="BK77" s="1" t="s">
        <v>1</v>
      </c>
      <c r="BL77" s="7">
        <v>1</v>
      </c>
      <c r="BM77" s="9" t="str">
        <f t="shared" si="273"/>
        <v/>
      </c>
      <c r="BN77" s="3">
        <v>1</v>
      </c>
      <c r="BO77" s="1" t="s">
        <v>1</v>
      </c>
      <c r="BP77" s="7">
        <v>1</v>
      </c>
      <c r="BQ77" s="9" t="str">
        <f t="shared" si="274"/>
        <v/>
      </c>
      <c r="BR77" s="3">
        <v>1</v>
      </c>
      <c r="BS77" s="1" t="s">
        <v>1</v>
      </c>
      <c r="BT77" s="7">
        <v>1</v>
      </c>
      <c r="BU77" s="9" t="str">
        <f t="shared" si="275"/>
        <v/>
      </c>
      <c r="BV77" s="3">
        <v>2</v>
      </c>
      <c r="BW77" s="1" t="s">
        <v>1</v>
      </c>
      <c r="BX77" s="7">
        <v>2</v>
      </c>
      <c r="BY77" s="9" t="str">
        <f t="shared" si="276"/>
        <v/>
      </c>
      <c r="BZ77" s="3">
        <v>1</v>
      </c>
      <c r="CA77" s="1" t="s">
        <v>1</v>
      </c>
      <c r="CB77" s="7">
        <v>2</v>
      </c>
      <c r="CC77" s="9" t="str">
        <f t="shared" si="277"/>
        <v/>
      </c>
      <c r="CD77" s="3">
        <v>1</v>
      </c>
      <c r="CE77" s="1" t="s">
        <v>1</v>
      </c>
      <c r="CF77" s="7">
        <v>2</v>
      </c>
      <c r="CG77" s="9" t="str">
        <f t="shared" si="278"/>
        <v/>
      </c>
      <c r="CH77" s="3">
        <v>1</v>
      </c>
      <c r="CI77" s="1" t="s">
        <v>1</v>
      </c>
      <c r="CJ77" s="7">
        <v>3</v>
      </c>
      <c r="CK77" s="9" t="str">
        <f t="shared" si="279"/>
        <v/>
      </c>
      <c r="CL77" s="3">
        <v>1</v>
      </c>
      <c r="CM77" s="1" t="s">
        <v>1</v>
      </c>
      <c r="CN77" s="7">
        <v>1</v>
      </c>
      <c r="CO77" s="9" t="str">
        <f t="shared" si="280"/>
        <v/>
      </c>
      <c r="CP77" s="3">
        <v>1</v>
      </c>
      <c r="CQ77" s="1" t="s">
        <v>1</v>
      </c>
      <c r="CR77" s="7">
        <v>2</v>
      </c>
      <c r="CS77" s="9" t="str">
        <f t="shared" si="281"/>
        <v/>
      </c>
      <c r="CT77" s="3">
        <v>1</v>
      </c>
      <c r="CU77" s="1" t="s">
        <v>1</v>
      </c>
      <c r="CV77" s="7">
        <v>1</v>
      </c>
      <c r="CW77" s="9" t="str">
        <f t="shared" si="282"/>
        <v/>
      </c>
      <c r="CX77" s="3">
        <v>1</v>
      </c>
      <c r="CY77" s="1" t="s">
        <v>1</v>
      </c>
      <c r="CZ77" s="7">
        <v>2</v>
      </c>
      <c r="DA77" s="9" t="str">
        <f t="shared" si="283"/>
        <v/>
      </c>
      <c r="DB77" s="3">
        <v>1</v>
      </c>
      <c r="DC77" s="1" t="s">
        <v>1</v>
      </c>
      <c r="DD77" s="7">
        <v>3</v>
      </c>
      <c r="DE77" s="9" t="str">
        <f t="shared" si="284"/>
        <v/>
      </c>
      <c r="DF77" s="3">
        <v>2</v>
      </c>
      <c r="DG77" s="1" t="s">
        <v>1</v>
      </c>
      <c r="DH77" s="7">
        <v>2</v>
      </c>
      <c r="DI77" s="9" t="str">
        <f t="shared" si="285"/>
        <v/>
      </c>
    </row>
    <row r="78" spans="2:113" ht="15" thickBot="1" x14ac:dyDescent="0.35">
      <c r="B78" s="13">
        <v>46201</v>
      </c>
      <c r="C78" s="8" t="s">
        <v>76</v>
      </c>
      <c r="D78" s="4" t="s">
        <v>55</v>
      </c>
      <c r="E78" s="2" t="s">
        <v>1</v>
      </c>
      <c r="F78" s="6" t="s">
        <v>56</v>
      </c>
      <c r="G78" s="4"/>
      <c r="H78" s="2" t="s">
        <v>1</v>
      </c>
      <c r="I78" s="6"/>
      <c r="J78" s="4">
        <v>2</v>
      </c>
      <c r="K78" s="2" t="s">
        <v>1</v>
      </c>
      <c r="L78" s="8">
        <v>1</v>
      </c>
      <c r="M78" s="10" t="str">
        <f t="shared" si="260"/>
        <v/>
      </c>
      <c r="N78" s="4">
        <v>1</v>
      </c>
      <c r="O78" s="2" t="s">
        <v>1</v>
      </c>
      <c r="P78" s="8">
        <v>1</v>
      </c>
      <c r="Q78" s="10" t="str">
        <f t="shared" si="261"/>
        <v/>
      </c>
      <c r="R78" s="4">
        <v>1</v>
      </c>
      <c r="S78" s="2" t="s">
        <v>1</v>
      </c>
      <c r="T78" s="8">
        <v>1</v>
      </c>
      <c r="U78" s="10" t="str">
        <f t="shared" si="262"/>
        <v/>
      </c>
      <c r="V78" s="4">
        <v>0</v>
      </c>
      <c r="W78" s="2" t="s">
        <v>1</v>
      </c>
      <c r="X78" s="8">
        <v>0</v>
      </c>
      <c r="Y78" s="10" t="str">
        <f t="shared" si="263"/>
        <v/>
      </c>
      <c r="Z78" s="4">
        <v>1</v>
      </c>
      <c r="AA78" s="2" t="s">
        <v>1</v>
      </c>
      <c r="AB78" s="8">
        <v>1</v>
      </c>
      <c r="AC78" s="10" t="str">
        <f t="shared" si="264"/>
        <v/>
      </c>
      <c r="AD78" s="4">
        <v>2</v>
      </c>
      <c r="AE78" s="2" t="s">
        <v>1</v>
      </c>
      <c r="AF78" s="8">
        <v>2</v>
      </c>
      <c r="AG78" s="10" t="str">
        <f t="shared" si="265"/>
        <v/>
      </c>
      <c r="AH78" s="4">
        <v>0</v>
      </c>
      <c r="AI78" s="2" t="s">
        <v>1</v>
      </c>
      <c r="AJ78" s="8">
        <v>0</v>
      </c>
      <c r="AK78" s="10" t="str">
        <f t="shared" si="266"/>
        <v/>
      </c>
      <c r="AL78" s="4">
        <v>0</v>
      </c>
      <c r="AM78" s="2" t="s">
        <v>1</v>
      </c>
      <c r="AN78" s="8">
        <v>0</v>
      </c>
      <c r="AO78" s="10" t="str">
        <f t="shared" si="267"/>
        <v/>
      </c>
      <c r="AP78" s="4">
        <v>1</v>
      </c>
      <c r="AQ78" s="2" t="s">
        <v>1</v>
      </c>
      <c r="AR78" s="8">
        <v>0</v>
      </c>
      <c r="AS78" s="10" t="str">
        <f t="shared" si="268"/>
        <v/>
      </c>
      <c r="AT78" s="4">
        <v>1</v>
      </c>
      <c r="AU78" s="2" t="s">
        <v>1</v>
      </c>
      <c r="AV78" s="8">
        <v>1</v>
      </c>
      <c r="AW78" s="10" t="str">
        <f t="shared" si="269"/>
        <v/>
      </c>
      <c r="AX78" s="4">
        <v>0</v>
      </c>
      <c r="AY78" s="2" t="s">
        <v>1</v>
      </c>
      <c r="AZ78" s="8">
        <v>1</v>
      </c>
      <c r="BA78" s="10" t="str">
        <f t="shared" si="270"/>
        <v/>
      </c>
      <c r="BB78" s="4">
        <v>1</v>
      </c>
      <c r="BC78" s="2" t="s">
        <v>1</v>
      </c>
      <c r="BD78" s="8">
        <v>0</v>
      </c>
      <c r="BE78" s="10" t="str">
        <f t="shared" si="271"/>
        <v/>
      </c>
      <c r="BF78" s="4">
        <v>1</v>
      </c>
      <c r="BG78" s="2" t="s">
        <v>1</v>
      </c>
      <c r="BH78" s="8">
        <v>0</v>
      </c>
      <c r="BI78" s="10" t="str">
        <f t="shared" si="272"/>
        <v/>
      </c>
      <c r="BJ78" s="4">
        <v>1</v>
      </c>
      <c r="BK78" s="2" t="s">
        <v>1</v>
      </c>
      <c r="BL78" s="8">
        <v>0</v>
      </c>
      <c r="BM78" s="10" t="str">
        <f t="shared" si="273"/>
        <v/>
      </c>
      <c r="BN78" s="4">
        <v>1</v>
      </c>
      <c r="BO78" s="2" t="s">
        <v>1</v>
      </c>
      <c r="BP78" s="8">
        <v>0</v>
      </c>
      <c r="BQ78" s="10" t="str">
        <f t="shared" si="274"/>
        <v/>
      </c>
      <c r="BR78" s="4">
        <v>2</v>
      </c>
      <c r="BS78" s="2" t="s">
        <v>1</v>
      </c>
      <c r="BT78" s="8">
        <v>0</v>
      </c>
      <c r="BU78" s="10" t="str">
        <f t="shared" si="275"/>
        <v/>
      </c>
      <c r="BV78" s="4">
        <v>1</v>
      </c>
      <c r="BW78" s="2" t="s">
        <v>1</v>
      </c>
      <c r="BX78" s="8">
        <v>1</v>
      </c>
      <c r="BY78" s="10" t="str">
        <f t="shared" si="276"/>
        <v/>
      </c>
      <c r="BZ78" s="4">
        <v>2</v>
      </c>
      <c r="CA78" s="2" t="s">
        <v>1</v>
      </c>
      <c r="CB78" s="8">
        <v>2</v>
      </c>
      <c r="CC78" s="10" t="str">
        <f t="shared" si="277"/>
        <v/>
      </c>
      <c r="CD78" s="4">
        <v>1</v>
      </c>
      <c r="CE78" s="2" t="s">
        <v>1</v>
      </c>
      <c r="CF78" s="8">
        <v>0</v>
      </c>
      <c r="CG78" s="10" t="str">
        <f t="shared" si="278"/>
        <v/>
      </c>
      <c r="CH78" s="4">
        <v>2</v>
      </c>
      <c r="CI78" s="2" t="s">
        <v>1</v>
      </c>
      <c r="CJ78" s="8">
        <v>1</v>
      </c>
      <c r="CK78" s="10" t="str">
        <f t="shared" si="279"/>
        <v/>
      </c>
      <c r="CL78" s="4">
        <v>0</v>
      </c>
      <c r="CM78" s="2" t="s">
        <v>1</v>
      </c>
      <c r="CN78" s="8">
        <v>3</v>
      </c>
      <c r="CO78" s="10" t="str">
        <f t="shared" si="280"/>
        <v/>
      </c>
      <c r="CP78" s="4">
        <v>2</v>
      </c>
      <c r="CQ78" s="2" t="s">
        <v>1</v>
      </c>
      <c r="CR78" s="8">
        <v>0</v>
      </c>
      <c r="CS78" s="10" t="str">
        <f t="shared" si="281"/>
        <v/>
      </c>
      <c r="CT78" s="4">
        <v>1</v>
      </c>
      <c r="CU78" s="2" t="s">
        <v>1</v>
      </c>
      <c r="CV78" s="8">
        <v>1</v>
      </c>
      <c r="CW78" s="10" t="str">
        <f t="shared" si="282"/>
        <v/>
      </c>
      <c r="CX78" s="4">
        <v>2</v>
      </c>
      <c r="CY78" s="2" t="s">
        <v>1</v>
      </c>
      <c r="CZ78" s="8">
        <v>0</v>
      </c>
      <c r="DA78" s="10" t="str">
        <f t="shared" si="283"/>
        <v/>
      </c>
      <c r="DB78" s="4">
        <v>1</v>
      </c>
      <c r="DC78" s="2" t="s">
        <v>1</v>
      </c>
      <c r="DD78" s="8">
        <v>2</v>
      </c>
      <c r="DE78" s="10" t="str">
        <f t="shared" si="284"/>
        <v/>
      </c>
      <c r="DF78" s="4">
        <v>2</v>
      </c>
      <c r="DG78" s="2" t="s">
        <v>1</v>
      </c>
      <c r="DH78" s="8">
        <v>2</v>
      </c>
      <c r="DI78" s="10" t="str">
        <f t="shared" si="285"/>
        <v/>
      </c>
    </row>
    <row r="79" spans="2:113" ht="15" thickBot="1" x14ac:dyDescent="0.35">
      <c r="B79" s="51" t="s">
        <v>77</v>
      </c>
      <c r="C79" s="52" t="s">
        <v>78</v>
      </c>
      <c r="D79" s="157" t="s">
        <v>58</v>
      </c>
      <c r="E79" s="158"/>
      <c r="F79" s="159"/>
      <c r="G79" s="53" t="s">
        <v>7</v>
      </c>
      <c r="H79" s="54"/>
      <c r="I79" s="55"/>
      <c r="J79" s="61"/>
      <c r="K79" s="62"/>
      <c r="L79" s="62"/>
      <c r="M79" s="63"/>
      <c r="N79" s="64"/>
      <c r="O79" s="65"/>
      <c r="P79" s="65"/>
      <c r="Q79" s="66"/>
      <c r="R79" s="67"/>
      <c r="S79" s="68"/>
      <c r="T79" s="68"/>
      <c r="U79" s="69"/>
      <c r="V79" s="109"/>
      <c r="W79" s="110"/>
      <c r="X79" s="110"/>
      <c r="Y79" s="111"/>
      <c r="Z79" s="70"/>
      <c r="AA79" s="71"/>
      <c r="AB79" s="71"/>
      <c r="AC79" s="72"/>
      <c r="AD79" s="73"/>
      <c r="AE79" s="74"/>
      <c r="AF79" s="74"/>
      <c r="AG79" s="75"/>
      <c r="AH79" s="76"/>
      <c r="AI79" s="77"/>
      <c r="AJ79" s="77"/>
      <c r="AK79" s="78"/>
      <c r="AL79" s="79"/>
      <c r="AM79" s="80"/>
      <c r="AN79" s="80"/>
      <c r="AO79" s="81"/>
      <c r="AP79" s="41"/>
      <c r="AQ79" s="42"/>
      <c r="AR79" s="42"/>
      <c r="AS79" s="43"/>
      <c r="AT79" s="82"/>
      <c r="AU79" s="83"/>
      <c r="AV79" s="83"/>
      <c r="AW79" s="84"/>
      <c r="AX79" s="85"/>
      <c r="AY79" s="86"/>
      <c r="AZ79" s="86"/>
      <c r="BA79" s="87"/>
      <c r="BB79" s="88"/>
      <c r="BC79" s="89"/>
      <c r="BD79" s="89"/>
      <c r="BE79" s="90"/>
      <c r="BF79" s="91"/>
      <c r="BG79" s="92"/>
      <c r="BH79" s="92"/>
      <c r="BI79" s="93"/>
      <c r="BJ79" s="94"/>
      <c r="BK79" s="95"/>
      <c r="BL79" s="95"/>
      <c r="BM79" s="96"/>
      <c r="BN79" s="34"/>
      <c r="BO79" s="36"/>
      <c r="BP79" s="36"/>
      <c r="BQ79" s="35"/>
      <c r="BR79" s="79"/>
      <c r="BS79" s="80"/>
      <c r="BT79" s="80"/>
      <c r="BU79" s="81"/>
      <c r="BV79" s="97"/>
      <c r="BW79" s="98"/>
      <c r="BX79" s="98"/>
      <c r="BY79" s="99"/>
      <c r="BZ79" s="41"/>
      <c r="CA79" s="42"/>
      <c r="CB79" s="42"/>
      <c r="CC79" s="43"/>
      <c r="CD79" s="100"/>
      <c r="CE79" s="101"/>
      <c r="CF79" s="101"/>
      <c r="CG79" s="102"/>
      <c r="CH79" s="103"/>
      <c r="CI79" s="104"/>
      <c r="CJ79" s="104"/>
      <c r="CK79" s="105"/>
      <c r="CL79" s="109"/>
      <c r="CM79" s="110"/>
      <c r="CN79" s="110"/>
      <c r="CO79" s="111"/>
      <c r="CP79" s="106"/>
      <c r="CQ79" s="107"/>
      <c r="CR79" s="107"/>
      <c r="CS79" s="108"/>
      <c r="CT79" s="85"/>
      <c r="CU79" s="86"/>
      <c r="CV79" s="86"/>
      <c r="CW79" s="87"/>
      <c r="CX79" s="133"/>
      <c r="CY79" s="134"/>
      <c r="CZ79" s="134"/>
      <c r="DA79" s="135"/>
      <c r="DB79" s="137"/>
      <c r="DC79" s="138"/>
      <c r="DD79" s="138"/>
      <c r="DE79" s="139"/>
      <c r="DF79" s="53"/>
      <c r="DG79" s="54"/>
      <c r="DH79" s="54"/>
      <c r="DI79" s="55"/>
    </row>
    <row r="80" spans="2:113" x14ac:dyDescent="0.3">
      <c r="B80" s="12">
        <v>46190</v>
      </c>
      <c r="C80" s="7" t="s">
        <v>73</v>
      </c>
      <c r="D80" s="3" t="s">
        <v>59</v>
      </c>
      <c r="E80" s="1" t="s">
        <v>1</v>
      </c>
      <c r="F80" s="5" t="s">
        <v>60</v>
      </c>
      <c r="G80" s="3"/>
      <c r="H80" s="1" t="s">
        <v>1</v>
      </c>
      <c r="I80" s="5"/>
      <c r="J80" s="3">
        <v>2</v>
      </c>
      <c r="K80" s="1" t="s">
        <v>1</v>
      </c>
      <c r="L80" s="7">
        <v>1</v>
      </c>
      <c r="M80" s="11" t="str">
        <f>IF(ISBLANK($I80)=TRUE,"",IF(SIGN(J80-L80)=SIGN($G80-$I80),1,0)+IF(J80=$G80,IF(L80=$I80,2,0),0))</f>
        <v/>
      </c>
      <c r="N80" s="3">
        <v>2</v>
      </c>
      <c r="O80" s="1" t="s">
        <v>1</v>
      </c>
      <c r="P80" s="7">
        <v>1</v>
      </c>
      <c r="Q80" s="11" t="str">
        <f>IF(ISBLANK($I80)=TRUE,"",IF(SIGN(N80-P80)=SIGN($G80-$I80),1,0)+IF(N80=$G80,IF(P80=$I80,2,0),0))</f>
        <v/>
      </c>
      <c r="R80" s="3">
        <v>2</v>
      </c>
      <c r="S80" s="1" t="s">
        <v>1</v>
      </c>
      <c r="T80" s="7">
        <v>1</v>
      </c>
      <c r="U80" s="11" t="str">
        <f>IF(ISBLANK($I80)=TRUE,"",IF(SIGN(R80-T80)=SIGN($G80-$I80),1,0)+IF(R80=$G80,IF(T80=$I80,2,0),0))</f>
        <v/>
      </c>
      <c r="V80" s="3">
        <v>1</v>
      </c>
      <c r="W80" s="1" t="s">
        <v>1</v>
      </c>
      <c r="X80" s="7">
        <v>1</v>
      </c>
      <c r="Y80" s="11" t="str">
        <f>IF(ISBLANK($I80)=TRUE,"",IF(SIGN(V80-X80)=SIGN($G80-$I80),1,0)+IF(V80=$G80,IF(X80=$I80,2,0),0))</f>
        <v/>
      </c>
      <c r="Z80" s="3">
        <v>2</v>
      </c>
      <c r="AA80" s="1" t="s">
        <v>1</v>
      </c>
      <c r="AB80" s="7">
        <v>1</v>
      </c>
      <c r="AC80" s="11" t="str">
        <f>IF(ISBLANK($I80)=TRUE,"",IF(SIGN(Z80-AB80)=SIGN($G80-$I80),1,0)+IF(Z80=$G80,IF(AB80=$I80,2,0),0))</f>
        <v/>
      </c>
      <c r="AD80" s="3">
        <v>2</v>
      </c>
      <c r="AE80" s="1" t="s">
        <v>1</v>
      </c>
      <c r="AF80" s="7">
        <v>1</v>
      </c>
      <c r="AG80" s="11" t="str">
        <f>IF(ISBLANK($I80)=TRUE,"",IF(SIGN(AD80-AF80)=SIGN($G80-$I80),1,0)+IF(AD80=$G80,IF(AF80=$I80,2,0),0))</f>
        <v/>
      </c>
      <c r="AH80" s="3">
        <v>1</v>
      </c>
      <c r="AI80" s="1" t="s">
        <v>1</v>
      </c>
      <c r="AJ80" s="7">
        <v>0</v>
      </c>
      <c r="AK80" s="11" t="str">
        <f>IF(ISBLANK($I80)=TRUE,"",IF(SIGN(AH80-AJ80)=SIGN($G80-$I80),1,0)+IF(AH80=$G80,IF(AJ80=$I80,2,0),0))</f>
        <v/>
      </c>
      <c r="AL80" s="3">
        <v>1</v>
      </c>
      <c r="AM80" s="1" t="s">
        <v>1</v>
      </c>
      <c r="AN80" s="7">
        <v>0</v>
      </c>
      <c r="AO80" s="11" t="str">
        <f>IF(ISBLANK($I80)=TRUE,"",IF(SIGN(AL80-AN80)=SIGN($G80-$I80),1,0)+IF(AL80=$G80,IF(AN80=$I80,2,0),0))</f>
        <v/>
      </c>
      <c r="AP80" s="3">
        <v>2</v>
      </c>
      <c r="AQ80" s="1" t="s">
        <v>1</v>
      </c>
      <c r="AR80" s="7">
        <v>1</v>
      </c>
      <c r="AS80" s="11" t="str">
        <f>IF(ISBLANK($I80)=TRUE,"",IF(SIGN(AP80-AR80)=SIGN($G80-$I80),1,0)+IF(AP80=$G80,IF(AR80=$I80,2,0),0))</f>
        <v/>
      </c>
      <c r="AT80" s="3">
        <v>2</v>
      </c>
      <c r="AU80" s="1" t="s">
        <v>1</v>
      </c>
      <c r="AV80" s="7">
        <v>2</v>
      </c>
      <c r="AW80" s="11" t="str">
        <f>IF(ISBLANK($I80)=TRUE,"",IF(SIGN(AT80-AV80)=SIGN($G80-$I80),1,0)+IF(AT80=$G80,IF(AV80=$I80,2,0),0))</f>
        <v/>
      </c>
      <c r="AX80" s="3">
        <v>2</v>
      </c>
      <c r="AY80" s="1" t="s">
        <v>1</v>
      </c>
      <c r="AZ80" s="7">
        <v>1</v>
      </c>
      <c r="BA80" s="11" t="str">
        <f>IF(ISBLANK($I80)=TRUE,"",IF(SIGN(AX80-AZ80)=SIGN($G80-$I80),1,0)+IF(AX80=$G80,IF(AZ80=$I80,2,0),0))</f>
        <v/>
      </c>
      <c r="BB80" s="3">
        <v>1</v>
      </c>
      <c r="BC80" s="1" t="s">
        <v>1</v>
      </c>
      <c r="BD80" s="7">
        <v>1</v>
      </c>
      <c r="BE80" s="11" t="str">
        <f>IF(ISBLANK($I80)=TRUE,"",IF(SIGN(BB80-BD80)=SIGN($G80-$I80),1,0)+IF(BB80=$G80,IF(BD80=$I80,2,0),0))</f>
        <v/>
      </c>
      <c r="BF80" s="3">
        <v>1</v>
      </c>
      <c r="BG80" s="1" t="s">
        <v>1</v>
      </c>
      <c r="BH80" s="7">
        <v>1</v>
      </c>
      <c r="BI80" s="11" t="str">
        <f>IF(ISBLANK($I80)=TRUE,"",IF(SIGN(BF80-BH80)=SIGN($G80-$I80),1,0)+IF(BF80=$G80,IF(BH80=$I80,2,0),0))</f>
        <v/>
      </c>
      <c r="BJ80" s="3">
        <v>1</v>
      </c>
      <c r="BK80" s="1" t="s">
        <v>1</v>
      </c>
      <c r="BL80" s="7">
        <v>1</v>
      </c>
      <c r="BM80" s="11" t="str">
        <f>IF(ISBLANK($I80)=TRUE,"",IF(SIGN(BJ80-BL80)=SIGN($G80-$I80),1,0)+IF(BJ80=$G80,IF(BL80=$I80,2,0),0))</f>
        <v/>
      </c>
      <c r="BN80" s="3">
        <v>2</v>
      </c>
      <c r="BO80" s="1" t="s">
        <v>1</v>
      </c>
      <c r="BP80" s="7">
        <v>0</v>
      </c>
      <c r="BQ80" s="11" t="str">
        <f>IF(ISBLANK($I80)=TRUE,"",IF(SIGN(BN80-BP80)=SIGN($G80-$I80),1,0)+IF(BN80=$G80,IF(BP80=$I80,2,0),0))</f>
        <v/>
      </c>
      <c r="BR80" s="3">
        <v>2</v>
      </c>
      <c r="BS80" s="1" t="s">
        <v>1</v>
      </c>
      <c r="BT80" s="7">
        <v>2</v>
      </c>
      <c r="BU80" s="11" t="str">
        <f>IF(ISBLANK($I80)=TRUE,"",IF(SIGN(BR80-BT80)=SIGN($G80-$I80),1,0)+IF(BR80=$G80,IF(BT80=$I80,2,0),0))</f>
        <v/>
      </c>
      <c r="BV80" s="3">
        <v>2</v>
      </c>
      <c r="BW80" s="1" t="s">
        <v>1</v>
      </c>
      <c r="BX80" s="7">
        <v>0</v>
      </c>
      <c r="BY80" s="11" t="str">
        <f>IF(ISBLANK($I80)=TRUE,"",IF(SIGN(BV80-BX80)=SIGN($G80-$I80),1,0)+IF(BV80=$G80,IF(BX80=$I80,2,0),0))</f>
        <v/>
      </c>
      <c r="BZ80" s="3">
        <v>2</v>
      </c>
      <c r="CA80" s="1" t="s">
        <v>1</v>
      </c>
      <c r="CB80" s="7">
        <v>1</v>
      </c>
      <c r="CC80" s="11" t="str">
        <f>IF(ISBLANK($I80)=TRUE,"",IF(SIGN(BZ80-CB80)=SIGN($G80-$I80),1,0)+IF(BZ80=$G80,IF(CB80=$I80,2,0),0))</f>
        <v/>
      </c>
      <c r="CD80" s="3">
        <v>2</v>
      </c>
      <c r="CE80" s="1" t="s">
        <v>1</v>
      </c>
      <c r="CF80" s="7">
        <v>1</v>
      </c>
      <c r="CG80" s="11" t="str">
        <f>IF(ISBLANK($I80)=TRUE,"",IF(SIGN(CD80-CF80)=SIGN($G80-$I80),1,0)+IF(CD80=$G80,IF(CF80=$I80,2,0),0))</f>
        <v/>
      </c>
      <c r="CH80" s="3">
        <v>2</v>
      </c>
      <c r="CI80" s="1" t="s">
        <v>1</v>
      </c>
      <c r="CJ80" s="7">
        <v>1</v>
      </c>
      <c r="CK80" s="11" t="str">
        <f>IF(ISBLANK($I80)=TRUE,"",IF(SIGN(CH80-CJ80)=SIGN($G80-$I80),1,0)+IF(CH80=$G80,IF(CJ80=$I80,2,0),0))</f>
        <v/>
      </c>
      <c r="CL80" s="3">
        <v>2</v>
      </c>
      <c r="CM80" s="1" t="s">
        <v>1</v>
      </c>
      <c r="CN80" s="7">
        <v>1</v>
      </c>
      <c r="CO80" s="11" t="str">
        <f>IF(ISBLANK($I80)=TRUE,"",IF(SIGN(CL80-CN80)=SIGN($G80-$I80),1,0)+IF(CL80=$G80,IF(CN80=$I80,2,0),0))</f>
        <v/>
      </c>
      <c r="CP80" s="3">
        <v>2</v>
      </c>
      <c r="CQ80" s="1" t="s">
        <v>1</v>
      </c>
      <c r="CR80" s="7">
        <v>1</v>
      </c>
      <c r="CS80" s="11" t="str">
        <f>IF(ISBLANK($I80)=TRUE,"",IF(SIGN(CP80-CR80)=SIGN($G80-$I80),1,0)+IF(CP80=$G80,IF(CR80=$I80,2,0),0))</f>
        <v/>
      </c>
      <c r="CT80" s="3">
        <v>2</v>
      </c>
      <c r="CU80" s="1" t="s">
        <v>1</v>
      </c>
      <c r="CV80" s="7">
        <v>1</v>
      </c>
      <c r="CW80" s="11" t="str">
        <f>IF(ISBLANK($I80)=TRUE,"",IF(SIGN(CT80-CV80)=SIGN($G80-$I80),1,0)+IF(CT80=$G80,IF(CV80=$I80,2,0),0))</f>
        <v/>
      </c>
      <c r="CX80" s="3">
        <v>1</v>
      </c>
      <c r="CY80" s="1" t="s">
        <v>1</v>
      </c>
      <c r="CZ80" s="7">
        <v>1</v>
      </c>
      <c r="DA80" s="11" t="str">
        <f>IF(ISBLANK($I80)=TRUE,"",IF(SIGN(CX80-CZ80)=SIGN($G80-$I80),1,0)+IF(CX80=$G80,IF(CZ80=$I80,2,0),0))</f>
        <v/>
      </c>
      <c r="DB80" s="3">
        <v>2</v>
      </c>
      <c r="DC80" s="1" t="s">
        <v>1</v>
      </c>
      <c r="DD80" s="7">
        <v>2</v>
      </c>
      <c r="DE80" s="11" t="str">
        <f>IF(ISBLANK($I80)=TRUE,"",IF(SIGN(DB80-DD80)=SIGN($G80-$I80),1,0)+IF(DB80=$G80,IF(DD80=$I80,2,0),0))</f>
        <v/>
      </c>
      <c r="DF80" s="3">
        <v>3</v>
      </c>
      <c r="DG80" s="1" t="s">
        <v>1</v>
      </c>
      <c r="DH80" s="7">
        <v>1</v>
      </c>
      <c r="DI80" s="11" t="str">
        <f>IF(ISBLANK($I80)=TRUE,"",IF(SIGN(DF80-DH80)=SIGN($G80-$I80),1,0)+IF(DF80=$G80,IF(DH80=$I80,2,0),0))</f>
        <v/>
      </c>
    </row>
    <row r="81" spans="2:113" x14ac:dyDescent="0.3">
      <c r="B81" s="12">
        <v>46191</v>
      </c>
      <c r="C81" s="7" t="s">
        <v>72</v>
      </c>
      <c r="D81" s="3" t="s">
        <v>61</v>
      </c>
      <c r="E81" s="1" t="s">
        <v>1</v>
      </c>
      <c r="F81" s="5" t="s">
        <v>62</v>
      </c>
      <c r="G81" s="3"/>
      <c r="H81" s="1" t="s">
        <v>1</v>
      </c>
      <c r="I81" s="5"/>
      <c r="J81" s="3">
        <v>2</v>
      </c>
      <c r="K81" s="1" t="s">
        <v>1</v>
      </c>
      <c r="L81" s="7">
        <v>1</v>
      </c>
      <c r="M81" s="9" t="str">
        <f t="shared" ref="M81:M85" si="286">IF(ISBLANK($G81)=TRUE,"",IF(SIGN(J81-L81)=SIGN($G81-$I81),1,0)+IF(J81=$G81,IF(L81=$I81,2,0),0))</f>
        <v/>
      </c>
      <c r="N81" s="3">
        <v>1</v>
      </c>
      <c r="O81" s="1" t="s">
        <v>1</v>
      </c>
      <c r="P81" s="7">
        <v>0</v>
      </c>
      <c r="Q81" s="9" t="str">
        <f t="shared" ref="Q81:Q85" si="287">IF(ISBLANK($G81)=TRUE,"",IF(SIGN(N81-P81)=SIGN($G81-$I81),1,0)+IF(N81=$G81,IF(P81=$I81,2,0),0))</f>
        <v/>
      </c>
      <c r="R81" s="3">
        <v>1</v>
      </c>
      <c r="S81" s="1" t="s">
        <v>1</v>
      </c>
      <c r="T81" s="7">
        <v>2</v>
      </c>
      <c r="U81" s="9" t="str">
        <f t="shared" ref="U81:U85" si="288">IF(ISBLANK($G81)=TRUE,"",IF(SIGN(R81-T81)=SIGN($G81-$I81),1,0)+IF(R81=$G81,IF(T81=$I81,2,0),0))</f>
        <v/>
      </c>
      <c r="V81" s="3">
        <v>1</v>
      </c>
      <c r="W81" s="1" t="s">
        <v>1</v>
      </c>
      <c r="X81" s="7">
        <v>1</v>
      </c>
      <c r="Y81" s="9" t="str">
        <f t="shared" ref="Y81:Y85" si="289">IF(ISBLANK($G81)=TRUE,"",IF(SIGN(V81-X81)=SIGN($G81-$I81),1,0)+IF(V81=$G81,IF(X81=$I81,2,0),0))</f>
        <v/>
      </c>
      <c r="Z81" s="3">
        <v>2</v>
      </c>
      <c r="AA81" s="1" t="s">
        <v>1</v>
      </c>
      <c r="AB81" s="7">
        <v>0</v>
      </c>
      <c r="AC81" s="9" t="str">
        <f t="shared" ref="AC81:AC85" si="290">IF(ISBLANK($G81)=TRUE,"",IF(SIGN(Z81-AB81)=SIGN($G81-$I81),1,0)+IF(Z81=$G81,IF(AB81=$I81,2,0),0))</f>
        <v/>
      </c>
      <c r="AD81" s="3">
        <v>1</v>
      </c>
      <c r="AE81" s="1" t="s">
        <v>1</v>
      </c>
      <c r="AF81" s="7">
        <v>2</v>
      </c>
      <c r="AG81" s="9" t="str">
        <f t="shared" ref="AG81:AG85" si="291">IF(ISBLANK($G81)=TRUE,"",IF(SIGN(AD81-AF81)=SIGN($G81-$I81),1,0)+IF(AD81=$G81,IF(AF81=$I81,2,0),0))</f>
        <v/>
      </c>
      <c r="AH81" s="3">
        <v>1</v>
      </c>
      <c r="AI81" s="1" t="s">
        <v>1</v>
      </c>
      <c r="AJ81" s="7">
        <v>1</v>
      </c>
      <c r="AK81" s="9" t="str">
        <f t="shared" ref="AK81:AK85" si="292">IF(ISBLANK($G81)=TRUE,"",IF(SIGN(AH81-AJ81)=SIGN($G81-$I81),1,0)+IF(AH81=$G81,IF(AJ81=$I81,2,0),0))</f>
        <v/>
      </c>
      <c r="AL81" s="3">
        <v>0</v>
      </c>
      <c r="AM81" s="1" t="s">
        <v>1</v>
      </c>
      <c r="AN81" s="7">
        <v>1</v>
      </c>
      <c r="AO81" s="9" t="str">
        <f t="shared" ref="AO81:AO85" si="293">IF(ISBLANK($G81)=TRUE,"",IF(SIGN(AL81-AN81)=SIGN($G81-$I81),1,0)+IF(AL81=$G81,IF(AN81=$I81,2,0),0))</f>
        <v/>
      </c>
      <c r="AP81" s="3">
        <v>2</v>
      </c>
      <c r="AQ81" s="1" t="s">
        <v>1</v>
      </c>
      <c r="AR81" s="7">
        <v>1</v>
      </c>
      <c r="AS81" s="9" t="str">
        <f t="shared" ref="AS81:AS85" si="294">IF(ISBLANK($G81)=TRUE,"",IF(SIGN(AP81-AR81)=SIGN($G81-$I81),1,0)+IF(AP81=$G81,IF(AR81=$I81,2,0),0))</f>
        <v/>
      </c>
      <c r="AT81" s="3">
        <v>1</v>
      </c>
      <c r="AU81" s="1" t="s">
        <v>1</v>
      </c>
      <c r="AV81" s="7">
        <v>2</v>
      </c>
      <c r="AW81" s="9" t="str">
        <f t="shared" ref="AW81:AW85" si="295">IF(ISBLANK($G81)=TRUE,"",IF(SIGN(AT81-AV81)=SIGN($G81-$I81),1,0)+IF(AT81=$G81,IF(AV81=$I81,2,0),0))</f>
        <v/>
      </c>
      <c r="AX81" s="3">
        <v>1</v>
      </c>
      <c r="AY81" s="1" t="s">
        <v>1</v>
      </c>
      <c r="AZ81" s="7">
        <v>0</v>
      </c>
      <c r="BA81" s="9" t="str">
        <f t="shared" ref="BA81:BA85" si="296">IF(ISBLANK($G81)=TRUE,"",IF(SIGN(AX81-AZ81)=SIGN($G81-$I81),1,0)+IF(AX81=$G81,IF(AZ81=$I81,2,0),0))</f>
        <v/>
      </c>
      <c r="BB81" s="3">
        <v>1</v>
      </c>
      <c r="BC81" s="1" t="s">
        <v>1</v>
      </c>
      <c r="BD81" s="7">
        <v>0</v>
      </c>
      <c r="BE81" s="9" t="str">
        <f t="shared" ref="BE81:BE85" si="297">IF(ISBLANK($G81)=TRUE,"",IF(SIGN(BB81-BD81)=SIGN($G81-$I81),1,0)+IF(BB81=$G81,IF(BD81=$I81,2,0),0))</f>
        <v/>
      </c>
      <c r="BF81" s="3">
        <v>2</v>
      </c>
      <c r="BG81" s="1" t="s">
        <v>1</v>
      </c>
      <c r="BH81" s="7">
        <v>0</v>
      </c>
      <c r="BI81" s="9" t="str">
        <f t="shared" ref="BI81:BI85" si="298">IF(ISBLANK($G81)=TRUE,"",IF(SIGN(BF81-BH81)=SIGN($G81-$I81),1,0)+IF(BF81=$G81,IF(BH81=$I81,2,0),0))</f>
        <v/>
      </c>
      <c r="BJ81" s="3">
        <v>1</v>
      </c>
      <c r="BK81" s="1" t="s">
        <v>1</v>
      </c>
      <c r="BL81" s="7">
        <v>0</v>
      </c>
      <c r="BM81" s="9" t="str">
        <f t="shared" ref="BM81:BM85" si="299">IF(ISBLANK($G81)=TRUE,"",IF(SIGN(BJ81-BL81)=SIGN($G81-$I81),1,0)+IF(BJ81=$G81,IF(BL81=$I81,2,0),0))</f>
        <v/>
      </c>
      <c r="BN81" s="3">
        <v>1</v>
      </c>
      <c r="BO81" s="1" t="s">
        <v>1</v>
      </c>
      <c r="BP81" s="7">
        <v>0</v>
      </c>
      <c r="BQ81" s="9" t="str">
        <f t="shared" ref="BQ81:BQ85" si="300">IF(ISBLANK($G81)=TRUE,"",IF(SIGN(BN81-BP81)=SIGN($G81-$I81),1,0)+IF(BN81=$G81,IF(BP81=$I81,2,0),0))</f>
        <v/>
      </c>
      <c r="BR81" s="3">
        <v>3</v>
      </c>
      <c r="BS81" s="1" t="s">
        <v>1</v>
      </c>
      <c r="BT81" s="7">
        <v>0</v>
      </c>
      <c r="BU81" s="9" t="str">
        <f t="shared" ref="BU81:BU85" si="301">IF(ISBLANK($G81)=TRUE,"",IF(SIGN(BR81-BT81)=SIGN($G81-$I81),1,0)+IF(BR81=$G81,IF(BT81=$I81,2,0),0))</f>
        <v/>
      </c>
      <c r="BV81" s="3">
        <v>2</v>
      </c>
      <c r="BW81" s="1" t="s">
        <v>1</v>
      </c>
      <c r="BX81" s="7">
        <v>1</v>
      </c>
      <c r="BY81" s="9" t="str">
        <f t="shared" ref="BY81:BY85" si="302">IF(ISBLANK($G81)=TRUE,"",IF(SIGN(BV81-BX81)=SIGN($G81-$I81),1,0)+IF(BV81=$G81,IF(BX81=$I81,2,0),0))</f>
        <v/>
      </c>
      <c r="BZ81" s="3">
        <v>2</v>
      </c>
      <c r="CA81" s="1" t="s">
        <v>1</v>
      </c>
      <c r="CB81" s="7">
        <v>2</v>
      </c>
      <c r="CC81" s="9" t="str">
        <f t="shared" ref="CC81:CC85" si="303">IF(ISBLANK($G81)=TRUE,"",IF(SIGN(BZ81-CB81)=SIGN($G81-$I81),1,0)+IF(BZ81=$G81,IF(CB81=$I81,2,0),0))</f>
        <v/>
      </c>
      <c r="CD81" s="3">
        <v>1</v>
      </c>
      <c r="CE81" s="1" t="s">
        <v>1</v>
      </c>
      <c r="CF81" s="7">
        <v>0</v>
      </c>
      <c r="CG81" s="9" t="str">
        <f t="shared" ref="CG81:CG85" si="304">IF(ISBLANK($G81)=TRUE,"",IF(SIGN(CD81-CF81)=SIGN($G81-$I81),1,0)+IF(CD81=$G81,IF(CF81=$I81,2,0),0))</f>
        <v/>
      </c>
      <c r="CH81" s="3">
        <v>2</v>
      </c>
      <c r="CI81" s="1" t="s">
        <v>1</v>
      </c>
      <c r="CJ81" s="7">
        <v>0</v>
      </c>
      <c r="CK81" s="9" t="str">
        <f t="shared" ref="CK81:CK85" si="305">IF(ISBLANK($G81)=TRUE,"",IF(SIGN(CH81-CJ81)=SIGN($G81-$I81),1,0)+IF(CH81=$G81,IF(CJ81=$I81,2,0),0))</f>
        <v/>
      </c>
      <c r="CL81" s="3">
        <v>1</v>
      </c>
      <c r="CM81" s="1" t="s">
        <v>1</v>
      </c>
      <c r="CN81" s="7">
        <v>1</v>
      </c>
      <c r="CO81" s="9" t="str">
        <f t="shared" ref="CO81:CO85" si="306">IF(ISBLANK($G81)=TRUE,"",IF(SIGN(CL81-CN81)=SIGN($G81-$I81),1,0)+IF(CL81=$G81,IF(CN81=$I81,2,0),0))</f>
        <v/>
      </c>
      <c r="CP81" s="3">
        <v>2</v>
      </c>
      <c r="CQ81" s="1" t="s">
        <v>1</v>
      </c>
      <c r="CR81" s="7">
        <v>0</v>
      </c>
      <c r="CS81" s="9" t="str">
        <f t="shared" ref="CS81:CS85" si="307">IF(ISBLANK($G81)=TRUE,"",IF(SIGN(CP81-CR81)=SIGN($G81-$I81),1,0)+IF(CP81=$G81,IF(CR81=$I81,2,0),0))</f>
        <v/>
      </c>
      <c r="CT81" s="3">
        <v>2</v>
      </c>
      <c r="CU81" s="1" t="s">
        <v>1</v>
      </c>
      <c r="CV81" s="7">
        <v>0</v>
      </c>
      <c r="CW81" s="9" t="str">
        <f t="shared" ref="CW81:CW85" si="308">IF(ISBLANK($G81)=TRUE,"",IF(SIGN(CT81-CV81)=SIGN($G81-$I81),1,0)+IF(CT81=$G81,IF(CV81=$I81,2,0),0))</f>
        <v/>
      </c>
      <c r="CX81" s="3">
        <v>1</v>
      </c>
      <c r="CY81" s="1" t="s">
        <v>1</v>
      </c>
      <c r="CZ81" s="7">
        <v>0</v>
      </c>
      <c r="DA81" s="9" t="str">
        <f t="shared" ref="DA81:DA85" si="309">IF(ISBLANK($G81)=TRUE,"",IF(SIGN(CX81-CZ81)=SIGN($G81-$I81),1,0)+IF(CX81=$G81,IF(CZ81=$I81,2,0),0))</f>
        <v/>
      </c>
      <c r="DB81" s="3">
        <v>1</v>
      </c>
      <c r="DC81" s="1" t="s">
        <v>1</v>
      </c>
      <c r="DD81" s="7">
        <v>2</v>
      </c>
      <c r="DE81" s="9" t="str">
        <f t="shared" ref="DE81:DE85" si="310">IF(ISBLANK($G81)=TRUE,"",IF(SIGN(DB81-DD81)=SIGN($G81-$I81),1,0)+IF(DB81=$G81,IF(DD81=$I81,2,0),0))</f>
        <v/>
      </c>
      <c r="DF81" s="3">
        <v>2</v>
      </c>
      <c r="DG81" s="1" t="s">
        <v>1</v>
      </c>
      <c r="DH81" s="7">
        <v>2</v>
      </c>
      <c r="DI81" s="9" t="str">
        <f t="shared" ref="DI81:DI85" si="311">IF(ISBLANK($G81)=TRUE,"",IF(SIGN(DF81-DH81)=SIGN($G81-$I81),1,0)+IF(DF81=$G81,IF(DH81=$I81,2,0),0))</f>
        <v/>
      </c>
    </row>
    <row r="82" spans="2:113" x14ac:dyDescent="0.3">
      <c r="B82" s="12">
        <v>46196</v>
      </c>
      <c r="C82" s="7" t="s">
        <v>73</v>
      </c>
      <c r="D82" s="3" t="s">
        <v>59</v>
      </c>
      <c r="E82" s="1" t="s">
        <v>1</v>
      </c>
      <c r="F82" s="5" t="s">
        <v>61</v>
      </c>
      <c r="G82" s="3"/>
      <c r="H82" s="1" t="s">
        <v>1</v>
      </c>
      <c r="I82" s="5"/>
      <c r="J82" s="3">
        <v>3</v>
      </c>
      <c r="K82" s="1" t="s">
        <v>1</v>
      </c>
      <c r="L82" s="7">
        <v>1</v>
      </c>
      <c r="M82" s="9" t="str">
        <f t="shared" si="286"/>
        <v/>
      </c>
      <c r="N82" s="3">
        <v>1</v>
      </c>
      <c r="O82" s="1" t="s">
        <v>1</v>
      </c>
      <c r="P82" s="7">
        <v>0</v>
      </c>
      <c r="Q82" s="9" t="str">
        <f t="shared" si="287"/>
        <v/>
      </c>
      <c r="R82" s="3">
        <v>2</v>
      </c>
      <c r="S82" s="1" t="s">
        <v>1</v>
      </c>
      <c r="T82" s="7">
        <v>1</v>
      </c>
      <c r="U82" s="9" t="str">
        <f t="shared" si="288"/>
        <v/>
      </c>
      <c r="V82" s="3">
        <v>2</v>
      </c>
      <c r="W82" s="1" t="s">
        <v>1</v>
      </c>
      <c r="X82" s="7">
        <v>0</v>
      </c>
      <c r="Y82" s="9" t="str">
        <f t="shared" si="289"/>
        <v/>
      </c>
      <c r="Z82" s="3">
        <v>2</v>
      </c>
      <c r="AA82" s="1" t="s">
        <v>1</v>
      </c>
      <c r="AB82" s="7">
        <v>0</v>
      </c>
      <c r="AC82" s="9" t="str">
        <f t="shared" si="290"/>
        <v/>
      </c>
      <c r="AD82" s="3">
        <v>2</v>
      </c>
      <c r="AE82" s="1" t="s">
        <v>1</v>
      </c>
      <c r="AF82" s="7">
        <v>0</v>
      </c>
      <c r="AG82" s="9" t="str">
        <f t="shared" si="291"/>
        <v/>
      </c>
      <c r="AH82" s="3">
        <v>1</v>
      </c>
      <c r="AI82" s="1" t="s">
        <v>1</v>
      </c>
      <c r="AJ82" s="7">
        <v>0</v>
      </c>
      <c r="AK82" s="9" t="str">
        <f t="shared" si="292"/>
        <v/>
      </c>
      <c r="AL82" s="3">
        <v>2</v>
      </c>
      <c r="AM82" s="1" t="s">
        <v>1</v>
      </c>
      <c r="AN82" s="7">
        <v>0</v>
      </c>
      <c r="AO82" s="9" t="str">
        <f t="shared" si="293"/>
        <v/>
      </c>
      <c r="AP82" s="3">
        <v>1</v>
      </c>
      <c r="AQ82" s="1" t="s">
        <v>1</v>
      </c>
      <c r="AR82" s="7">
        <v>0</v>
      </c>
      <c r="AS82" s="9" t="str">
        <f t="shared" si="294"/>
        <v/>
      </c>
      <c r="AT82" s="3">
        <v>2</v>
      </c>
      <c r="AU82" s="1" t="s">
        <v>1</v>
      </c>
      <c r="AV82" s="7">
        <v>1</v>
      </c>
      <c r="AW82" s="9" t="str">
        <f t="shared" si="295"/>
        <v/>
      </c>
      <c r="AX82" s="3">
        <v>3</v>
      </c>
      <c r="AY82" s="1" t="s">
        <v>1</v>
      </c>
      <c r="AZ82" s="7">
        <v>1</v>
      </c>
      <c r="BA82" s="9" t="str">
        <f t="shared" si="296"/>
        <v/>
      </c>
      <c r="BB82" s="3">
        <v>2</v>
      </c>
      <c r="BC82" s="1" t="s">
        <v>1</v>
      </c>
      <c r="BD82" s="7">
        <v>1</v>
      </c>
      <c r="BE82" s="9" t="str">
        <f t="shared" si="297"/>
        <v/>
      </c>
      <c r="BF82" s="3">
        <v>1</v>
      </c>
      <c r="BG82" s="1" t="s">
        <v>1</v>
      </c>
      <c r="BH82" s="7">
        <v>0</v>
      </c>
      <c r="BI82" s="9" t="str">
        <f t="shared" si="298"/>
        <v/>
      </c>
      <c r="BJ82" s="3">
        <v>1</v>
      </c>
      <c r="BK82" s="1" t="s">
        <v>1</v>
      </c>
      <c r="BL82" s="7">
        <v>0</v>
      </c>
      <c r="BM82" s="9" t="str">
        <f t="shared" si="299"/>
        <v/>
      </c>
      <c r="BN82" s="3">
        <v>2</v>
      </c>
      <c r="BO82" s="1" t="s">
        <v>1</v>
      </c>
      <c r="BP82" s="7">
        <v>0</v>
      </c>
      <c r="BQ82" s="9" t="str">
        <f t="shared" si="300"/>
        <v/>
      </c>
      <c r="BR82" s="3">
        <v>3</v>
      </c>
      <c r="BS82" s="1" t="s">
        <v>1</v>
      </c>
      <c r="BT82" s="7">
        <v>1</v>
      </c>
      <c r="BU82" s="9" t="str">
        <f t="shared" si="301"/>
        <v/>
      </c>
      <c r="BV82" s="3">
        <v>2</v>
      </c>
      <c r="BW82" s="1" t="s">
        <v>1</v>
      </c>
      <c r="BX82" s="7">
        <v>0</v>
      </c>
      <c r="BY82" s="9" t="str">
        <f t="shared" si="302"/>
        <v/>
      </c>
      <c r="BZ82" s="3">
        <v>2</v>
      </c>
      <c r="CA82" s="1" t="s">
        <v>1</v>
      </c>
      <c r="CB82" s="7">
        <v>1</v>
      </c>
      <c r="CC82" s="9" t="str">
        <f t="shared" si="303"/>
        <v/>
      </c>
      <c r="CD82" s="3">
        <v>2</v>
      </c>
      <c r="CE82" s="1" t="s">
        <v>1</v>
      </c>
      <c r="CF82" s="7">
        <v>0</v>
      </c>
      <c r="CG82" s="9" t="str">
        <f t="shared" si="304"/>
        <v/>
      </c>
      <c r="CH82" s="3">
        <v>2</v>
      </c>
      <c r="CI82" s="1" t="s">
        <v>1</v>
      </c>
      <c r="CJ82" s="7">
        <v>1</v>
      </c>
      <c r="CK82" s="9" t="str">
        <f t="shared" si="305"/>
        <v/>
      </c>
      <c r="CL82" s="3">
        <v>3</v>
      </c>
      <c r="CM82" s="1" t="s">
        <v>1</v>
      </c>
      <c r="CN82" s="7">
        <v>0</v>
      </c>
      <c r="CO82" s="9" t="str">
        <f t="shared" si="306"/>
        <v/>
      </c>
      <c r="CP82" s="3">
        <v>2</v>
      </c>
      <c r="CQ82" s="1" t="s">
        <v>1</v>
      </c>
      <c r="CR82" s="7">
        <v>0</v>
      </c>
      <c r="CS82" s="9" t="str">
        <f t="shared" si="307"/>
        <v/>
      </c>
      <c r="CT82" s="3">
        <v>2</v>
      </c>
      <c r="CU82" s="1" t="s">
        <v>1</v>
      </c>
      <c r="CV82" s="7">
        <v>0</v>
      </c>
      <c r="CW82" s="9" t="str">
        <f t="shared" si="308"/>
        <v/>
      </c>
      <c r="CX82" s="3">
        <v>1</v>
      </c>
      <c r="CY82" s="1" t="s">
        <v>1</v>
      </c>
      <c r="CZ82" s="7">
        <v>0</v>
      </c>
      <c r="DA82" s="9" t="str">
        <f t="shared" si="309"/>
        <v/>
      </c>
      <c r="DB82" s="3">
        <v>3</v>
      </c>
      <c r="DC82" s="1" t="s">
        <v>1</v>
      </c>
      <c r="DD82" s="7">
        <v>1</v>
      </c>
      <c r="DE82" s="9" t="str">
        <f t="shared" si="310"/>
        <v/>
      </c>
      <c r="DF82" s="3">
        <v>3</v>
      </c>
      <c r="DG82" s="1" t="s">
        <v>1</v>
      </c>
      <c r="DH82" s="7">
        <v>1</v>
      </c>
      <c r="DI82" s="9" t="str">
        <f t="shared" si="311"/>
        <v/>
      </c>
    </row>
    <row r="83" spans="2:113" x14ac:dyDescent="0.3">
      <c r="B83" s="12">
        <v>46197</v>
      </c>
      <c r="C83" s="7" t="s">
        <v>72</v>
      </c>
      <c r="D83" s="3" t="s">
        <v>62</v>
      </c>
      <c r="E83" s="1" t="s">
        <v>1</v>
      </c>
      <c r="F83" s="5" t="s">
        <v>60</v>
      </c>
      <c r="G83" s="3"/>
      <c r="H83" s="1" t="s">
        <v>1</v>
      </c>
      <c r="I83" s="5"/>
      <c r="J83" s="3">
        <v>0</v>
      </c>
      <c r="K83" s="1" t="s">
        <v>1</v>
      </c>
      <c r="L83" s="7">
        <v>2</v>
      </c>
      <c r="M83" s="9" t="str">
        <f t="shared" si="286"/>
        <v/>
      </c>
      <c r="N83" s="3">
        <v>0</v>
      </c>
      <c r="O83" s="1" t="s">
        <v>1</v>
      </c>
      <c r="P83" s="7">
        <v>2</v>
      </c>
      <c r="Q83" s="9" t="str">
        <f t="shared" si="287"/>
        <v/>
      </c>
      <c r="R83" s="3">
        <v>2</v>
      </c>
      <c r="S83" s="1" t="s">
        <v>1</v>
      </c>
      <c r="T83" s="7">
        <v>0</v>
      </c>
      <c r="U83" s="9" t="str">
        <f t="shared" si="288"/>
        <v/>
      </c>
      <c r="V83" s="3">
        <v>0</v>
      </c>
      <c r="W83" s="1" t="s">
        <v>1</v>
      </c>
      <c r="X83" s="7">
        <v>2</v>
      </c>
      <c r="Y83" s="9" t="str">
        <f t="shared" si="289"/>
        <v/>
      </c>
      <c r="Z83" s="3">
        <v>0</v>
      </c>
      <c r="AA83" s="1" t="s">
        <v>1</v>
      </c>
      <c r="AB83" s="7">
        <v>2</v>
      </c>
      <c r="AC83" s="9" t="str">
        <f t="shared" si="290"/>
        <v/>
      </c>
      <c r="AD83" s="3">
        <v>1</v>
      </c>
      <c r="AE83" s="1" t="s">
        <v>1</v>
      </c>
      <c r="AF83" s="7">
        <v>3</v>
      </c>
      <c r="AG83" s="9" t="str">
        <f t="shared" si="291"/>
        <v/>
      </c>
      <c r="AH83" s="3">
        <v>0</v>
      </c>
      <c r="AI83" s="1" t="s">
        <v>1</v>
      </c>
      <c r="AJ83" s="7">
        <v>2</v>
      </c>
      <c r="AK83" s="9" t="str">
        <f t="shared" si="292"/>
        <v/>
      </c>
      <c r="AL83" s="3">
        <v>0</v>
      </c>
      <c r="AM83" s="1" t="s">
        <v>1</v>
      </c>
      <c r="AN83" s="7">
        <v>1</v>
      </c>
      <c r="AO83" s="9" t="str">
        <f t="shared" si="293"/>
        <v/>
      </c>
      <c r="AP83" s="3">
        <v>0</v>
      </c>
      <c r="AQ83" s="1" t="s">
        <v>1</v>
      </c>
      <c r="AR83" s="7">
        <v>2</v>
      </c>
      <c r="AS83" s="9" t="str">
        <f t="shared" si="294"/>
        <v/>
      </c>
      <c r="AT83" s="3">
        <v>2</v>
      </c>
      <c r="AU83" s="1" t="s">
        <v>1</v>
      </c>
      <c r="AV83" s="7">
        <v>3</v>
      </c>
      <c r="AW83" s="9" t="str">
        <f t="shared" si="295"/>
        <v/>
      </c>
      <c r="AX83" s="3">
        <v>0</v>
      </c>
      <c r="AY83" s="1" t="s">
        <v>1</v>
      </c>
      <c r="AZ83" s="7">
        <v>2</v>
      </c>
      <c r="BA83" s="9" t="str">
        <f t="shared" si="296"/>
        <v/>
      </c>
      <c r="BB83" s="3">
        <v>0</v>
      </c>
      <c r="BC83" s="1" t="s">
        <v>1</v>
      </c>
      <c r="BD83" s="7">
        <v>3</v>
      </c>
      <c r="BE83" s="9" t="str">
        <f t="shared" si="297"/>
        <v/>
      </c>
      <c r="BF83" s="3">
        <v>0</v>
      </c>
      <c r="BG83" s="1" t="s">
        <v>1</v>
      </c>
      <c r="BH83" s="7">
        <v>1</v>
      </c>
      <c r="BI83" s="9" t="str">
        <f t="shared" si="298"/>
        <v/>
      </c>
      <c r="BJ83" s="3">
        <v>1</v>
      </c>
      <c r="BK83" s="1" t="s">
        <v>1</v>
      </c>
      <c r="BL83" s="7">
        <v>2</v>
      </c>
      <c r="BM83" s="9" t="str">
        <f t="shared" si="299"/>
        <v/>
      </c>
      <c r="BN83" s="3">
        <v>0</v>
      </c>
      <c r="BO83" s="1" t="s">
        <v>1</v>
      </c>
      <c r="BP83" s="7">
        <v>2</v>
      </c>
      <c r="BQ83" s="9" t="str">
        <f t="shared" si="300"/>
        <v/>
      </c>
      <c r="BR83" s="3">
        <v>0</v>
      </c>
      <c r="BS83" s="1" t="s">
        <v>1</v>
      </c>
      <c r="BT83" s="7">
        <v>2</v>
      </c>
      <c r="BU83" s="9" t="str">
        <f t="shared" si="301"/>
        <v/>
      </c>
      <c r="BV83" s="3">
        <v>1</v>
      </c>
      <c r="BW83" s="1" t="s">
        <v>1</v>
      </c>
      <c r="BX83" s="7">
        <v>1</v>
      </c>
      <c r="BY83" s="9" t="str">
        <f t="shared" si="302"/>
        <v/>
      </c>
      <c r="BZ83" s="3">
        <v>2</v>
      </c>
      <c r="CA83" s="1" t="s">
        <v>1</v>
      </c>
      <c r="CB83" s="7">
        <v>1</v>
      </c>
      <c r="CC83" s="9" t="str">
        <f t="shared" si="303"/>
        <v/>
      </c>
      <c r="CD83" s="3">
        <v>0</v>
      </c>
      <c r="CE83" s="1" t="s">
        <v>1</v>
      </c>
      <c r="CF83" s="7">
        <v>2</v>
      </c>
      <c r="CG83" s="9" t="str">
        <f t="shared" si="304"/>
        <v/>
      </c>
      <c r="CH83" s="3">
        <v>0</v>
      </c>
      <c r="CI83" s="1" t="s">
        <v>1</v>
      </c>
      <c r="CJ83" s="7">
        <v>3</v>
      </c>
      <c r="CK83" s="9" t="str">
        <f t="shared" si="305"/>
        <v/>
      </c>
      <c r="CL83" s="3">
        <v>0</v>
      </c>
      <c r="CM83" s="1" t="s">
        <v>1</v>
      </c>
      <c r="CN83" s="7">
        <v>1</v>
      </c>
      <c r="CO83" s="9" t="str">
        <f t="shared" si="306"/>
        <v/>
      </c>
      <c r="CP83" s="3">
        <v>0</v>
      </c>
      <c r="CQ83" s="1" t="s">
        <v>1</v>
      </c>
      <c r="CR83" s="7">
        <v>3</v>
      </c>
      <c r="CS83" s="9" t="str">
        <f t="shared" si="307"/>
        <v/>
      </c>
      <c r="CT83" s="3">
        <v>1</v>
      </c>
      <c r="CU83" s="1" t="s">
        <v>1</v>
      </c>
      <c r="CV83" s="7">
        <v>2</v>
      </c>
      <c r="CW83" s="9" t="str">
        <f t="shared" si="308"/>
        <v/>
      </c>
      <c r="CX83" s="3">
        <v>0</v>
      </c>
      <c r="CY83" s="1" t="s">
        <v>1</v>
      </c>
      <c r="CZ83" s="7">
        <v>2</v>
      </c>
      <c r="DA83" s="9" t="str">
        <f t="shared" si="309"/>
        <v/>
      </c>
      <c r="DB83" s="3">
        <v>1</v>
      </c>
      <c r="DC83" s="1" t="s">
        <v>1</v>
      </c>
      <c r="DD83" s="7">
        <v>4</v>
      </c>
      <c r="DE83" s="9" t="str">
        <f t="shared" si="310"/>
        <v/>
      </c>
      <c r="DF83" s="3">
        <v>2</v>
      </c>
      <c r="DG83" s="1" t="s">
        <v>1</v>
      </c>
      <c r="DH83" s="7">
        <v>4</v>
      </c>
      <c r="DI83" s="9" t="str">
        <f t="shared" si="311"/>
        <v/>
      </c>
    </row>
    <row r="84" spans="2:113" x14ac:dyDescent="0.3">
      <c r="B84" s="12">
        <v>46200</v>
      </c>
      <c r="C84" s="7" t="s">
        <v>75</v>
      </c>
      <c r="D84" s="3" t="s">
        <v>62</v>
      </c>
      <c r="E84" s="1" t="s">
        <v>1</v>
      </c>
      <c r="F84" s="5" t="s">
        <v>59</v>
      </c>
      <c r="G84" s="3"/>
      <c r="H84" s="1" t="s">
        <v>1</v>
      </c>
      <c r="I84" s="5"/>
      <c r="J84" s="3">
        <v>0</v>
      </c>
      <c r="K84" s="1" t="s">
        <v>1</v>
      </c>
      <c r="L84" s="7">
        <v>3</v>
      </c>
      <c r="M84" s="9" t="str">
        <f t="shared" si="286"/>
        <v/>
      </c>
      <c r="N84" s="3">
        <v>0</v>
      </c>
      <c r="O84" s="1" t="s">
        <v>1</v>
      </c>
      <c r="P84" s="7">
        <v>2</v>
      </c>
      <c r="Q84" s="9" t="str">
        <f t="shared" si="287"/>
        <v/>
      </c>
      <c r="R84" s="3">
        <v>0</v>
      </c>
      <c r="S84" s="1" t="s">
        <v>1</v>
      </c>
      <c r="T84" s="7">
        <v>2</v>
      </c>
      <c r="U84" s="9" t="str">
        <f t="shared" si="288"/>
        <v/>
      </c>
      <c r="V84" s="3">
        <v>0</v>
      </c>
      <c r="W84" s="1" t="s">
        <v>1</v>
      </c>
      <c r="X84" s="7">
        <v>3</v>
      </c>
      <c r="Y84" s="9" t="str">
        <f t="shared" si="289"/>
        <v/>
      </c>
      <c r="Z84" s="3">
        <v>0</v>
      </c>
      <c r="AA84" s="1" t="s">
        <v>1</v>
      </c>
      <c r="AB84" s="7">
        <v>3</v>
      </c>
      <c r="AC84" s="9" t="str">
        <f t="shared" si="290"/>
        <v/>
      </c>
      <c r="AD84" s="3">
        <v>0</v>
      </c>
      <c r="AE84" s="1" t="s">
        <v>1</v>
      </c>
      <c r="AF84" s="7">
        <v>2</v>
      </c>
      <c r="AG84" s="9" t="str">
        <f t="shared" si="291"/>
        <v/>
      </c>
      <c r="AH84" s="3">
        <v>0</v>
      </c>
      <c r="AI84" s="1" t="s">
        <v>1</v>
      </c>
      <c r="AJ84" s="7">
        <v>3</v>
      </c>
      <c r="AK84" s="9" t="str">
        <f t="shared" si="292"/>
        <v/>
      </c>
      <c r="AL84" s="3">
        <v>0</v>
      </c>
      <c r="AM84" s="1" t="s">
        <v>1</v>
      </c>
      <c r="AN84" s="7">
        <v>1</v>
      </c>
      <c r="AO84" s="9" t="str">
        <f t="shared" si="293"/>
        <v/>
      </c>
      <c r="AP84" s="3">
        <v>1</v>
      </c>
      <c r="AQ84" s="1" t="s">
        <v>1</v>
      </c>
      <c r="AR84" s="7">
        <v>2</v>
      </c>
      <c r="AS84" s="9" t="str">
        <f t="shared" si="294"/>
        <v/>
      </c>
      <c r="AT84" s="3">
        <v>1</v>
      </c>
      <c r="AU84" s="1" t="s">
        <v>1</v>
      </c>
      <c r="AV84" s="7">
        <v>3</v>
      </c>
      <c r="AW84" s="9" t="str">
        <f t="shared" si="295"/>
        <v/>
      </c>
      <c r="AX84" s="3">
        <v>0</v>
      </c>
      <c r="AY84" s="1" t="s">
        <v>1</v>
      </c>
      <c r="AZ84" s="7">
        <v>2</v>
      </c>
      <c r="BA84" s="9" t="str">
        <f t="shared" si="296"/>
        <v/>
      </c>
      <c r="BB84" s="3">
        <v>0</v>
      </c>
      <c r="BC84" s="1" t="s">
        <v>1</v>
      </c>
      <c r="BD84" s="7">
        <v>3</v>
      </c>
      <c r="BE84" s="9" t="str">
        <f t="shared" si="297"/>
        <v/>
      </c>
      <c r="BF84" s="3">
        <v>0</v>
      </c>
      <c r="BG84" s="1" t="s">
        <v>1</v>
      </c>
      <c r="BH84" s="7">
        <v>3</v>
      </c>
      <c r="BI84" s="9" t="str">
        <f t="shared" si="298"/>
        <v/>
      </c>
      <c r="BJ84" s="3">
        <v>0</v>
      </c>
      <c r="BK84" s="1" t="s">
        <v>1</v>
      </c>
      <c r="BL84" s="7">
        <v>2</v>
      </c>
      <c r="BM84" s="9" t="str">
        <f t="shared" si="299"/>
        <v/>
      </c>
      <c r="BN84" s="3">
        <v>0</v>
      </c>
      <c r="BO84" s="1" t="s">
        <v>1</v>
      </c>
      <c r="BP84" s="7">
        <v>3</v>
      </c>
      <c r="BQ84" s="9" t="str">
        <f t="shared" si="300"/>
        <v/>
      </c>
      <c r="BR84" s="3">
        <v>0</v>
      </c>
      <c r="BS84" s="1" t="s">
        <v>1</v>
      </c>
      <c r="BT84" s="7">
        <v>2</v>
      </c>
      <c r="BU84" s="9" t="str">
        <f t="shared" si="301"/>
        <v/>
      </c>
      <c r="BV84" s="3">
        <v>1</v>
      </c>
      <c r="BW84" s="1" t="s">
        <v>1</v>
      </c>
      <c r="BX84" s="7">
        <v>3</v>
      </c>
      <c r="BY84" s="9" t="str">
        <f t="shared" si="302"/>
        <v/>
      </c>
      <c r="BZ84" s="3">
        <v>0</v>
      </c>
      <c r="CA84" s="1" t="s">
        <v>1</v>
      </c>
      <c r="CB84" s="7">
        <v>2</v>
      </c>
      <c r="CC84" s="9" t="str">
        <f t="shared" si="303"/>
        <v/>
      </c>
      <c r="CD84" s="3">
        <v>0</v>
      </c>
      <c r="CE84" s="1" t="s">
        <v>1</v>
      </c>
      <c r="CF84" s="7">
        <v>3</v>
      </c>
      <c r="CG84" s="9" t="str">
        <f t="shared" si="304"/>
        <v/>
      </c>
      <c r="CH84" s="3">
        <v>0</v>
      </c>
      <c r="CI84" s="1" t="s">
        <v>1</v>
      </c>
      <c r="CJ84" s="7">
        <v>3</v>
      </c>
      <c r="CK84" s="9" t="str">
        <f t="shared" si="305"/>
        <v/>
      </c>
      <c r="CL84" s="3">
        <v>0</v>
      </c>
      <c r="CM84" s="1" t="s">
        <v>1</v>
      </c>
      <c r="CN84" s="7">
        <v>2</v>
      </c>
      <c r="CO84" s="9" t="str">
        <f t="shared" si="306"/>
        <v/>
      </c>
      <c r="CP84" s="3">
        <v>0</v>
      </c>
      <c r="CQ84" s="1" t="s">
        <v>1</v>
      </c>
      <c r="CR84" s="7">
        <v>4</v>
      </c>
      <c r="CS84" s="9" t="str">
        <f t="shared" si="307"/>
        <v/>
      </c>
      <c r="CT84" s="3">
        <v>0</v>
      </c>
      <c r="CU84" s="1" t="s">
        <v>1</v>
      </c>
      <c r="CV84" s="7">
        <v>3</v>
      </c>
      <c r="CW84" s="9" t="str">
        <f t="shared" si="308"/>
        <v/>
      </c>
      <c r="CX84" s="3">
        <v>0</v>
      </c>
      <c r="CY84" s="1" t="s">
        <v>1</v>
      </c>
      <c r="CZ84" s="7">
        <v>1</v>
      </c>
      <c r="DA84" s="9" t="str">
        <f t="shared" si="309"/>
        <v/>
      </c>
      <c r="DB84" s="3">
        <v>0</v>
      </c>
      <c r="DC84" s="1" t="s">
        <v>1</v>
      </c>
      <c r="DD84" s="7">
        <v>3</v>
      </c>
      <c r="DE84" s="9" t="str">
        <f t="shared" si="310"/>
        <v/>
      </c>
      <c r="DF84" s="3">
        <v>1</v>
      </c>
      <c r="DG84" s="1" t="s">
        <v>1</v>
      </c>
      <c r="DH84" s="7">
        <v>2</v>
      </c>
      <c r="DI84" s="9" t="str">
        <f t="shared" si="311"/>
        <v/>
      </c>
    </row>
    <row r="85" spans="2:113" ht="15" thickBot="1" x14ac:dyDescent="0.35">
      <c r="B85" s="13">
        <v>46200</v>
      </c>
      <c r="C85" s="8" t="s">
        <v>75</v>
      </c>
      <c r="D85" s="4" t="s">
        <v>60</v>
      </c>
      <c r="E85" s="2" t="s">
        <v>1</v>
      </c>
      <c r="F85" s="6" t="s">
        <v>61</v>
      </c>
      <c r="G85" s="4"/>
      <c r="H85" s="2" t="s">
        <v>1</v>
      </c>
      <c r="I85" s="6"/>
      <c r="J85" s="4">
        <v>2</v>
      </c>
      <c r="K85" s="2" t="s">
        <v>1</v>
      </c>
      <c r="L85" s="8">
        <v>1</v>
      </c>
      <c r="M85" s="10" t="str">
        <f t="shared" si="286"/>
        <v/>
      </c>
      <c r="N85" s="4">
        <v>2</v>
      </c>
      <c r="O85" s="2" t="s">
        <v>1</v>
      </c>
      <c r="P85" s="8">
        <v>1</v>
      </c>
      <c r="Q85" s="10" t="str">
        <f t="shared" si="287"/>
        <v/>
      </c>
      <c r="R85" s="4">
        <v>1</v>
      </c>
      <c r="S85" s="2" t="s">
        <v>1</v>
      </c>
      <c r="T85" s="8">
        <v>1</v>
      </c>
      <c r="U85" s="10" t="str">
        <f t="shared" si="288"/>
        <v/>
      </c>
      <c r="V85" s="4">
        <v>2</v>
      </c>
      <c r="W85" s="2" t="s">
        <v>1</v>
      </c>
      <c r="X85" s="8">
        <v>1</v>
      </c>
      <c r="Y85" s="10" t="str">
        <f t="shared" si="289"/>
        <v/>
      </c>
      <c r="Z85" s="4">
        <v>1</v>
      </c>
      <c r="AA85" s="2" t="s">
        <v>1</v>
      </c>
      <c r="AB85" s="8">
        <v>1</v>
      </c>
      <c r="AC85" s="10" t="str">
        <f t="shared" si="290"/>
        <v/>
      </c>
      <c r="AD85" s="4">
        <v>3</v>
      </c>
      <c r="AE85" s="2" t="s">
        <v>1</v>
      </c>
      <c r="AF85" s="8">
        <v>0</v>
      </c>
      <c r="AG85" s="10" t="str">
        <f t="shared" si="291"/>
        <v/>
      </c>
      <c r="AH85" s="4">
        <v>1</v>
      </c>
      <c r="AI85" s="2" t="s">
        <v>1</v>
      </c>
      <c r="AJ85" s="8">
        <v>0</v>
      </c>
      <c r="AK85" s="10" t="str">
        <f t="shared" si="292"/>
        <v/>
      </c>
      <c r="AL85" s="4">
        <v>1</v>
      </c>
      <c r="AM85" s="2" t="s">
        <v>1</v>
      </c>
      <c r="AN85" s="8">
        <v>0</v>
      </c>
      <c r="AO85" s="10" t="str">
        <f t="shared" si="293"/>
        <v/>
      </c>
      <c r="AP85" s="4">
        <v>2</v>
      </c>
      <c r="AQ85" s="2" t="s">
        <v>1</v>
      </c>
      <c r="AR85" s="8">
        <v>1</v>
      </c>
      <c r="AS85" s="10" t="str">
        <f t="shared" si="294"/>
        <v/>
      </c>
      <c r="AT85" s="4">
        <v>2</v>
      </c>
      <c r="AU85" s="2" t="s">
        <v>1</v>
      </c>
      <c r="AV85" s="8">
        <v>1</v>
      </c>
      <c r="AW85" s="10" t="str">
        <f t="shared" si="295"/>
        <v/>
      </c>
      <c r="AX85" s="4">
        <v>2</v>
      </c>
      <c r="AY85" s="2" t="s">
        <v>1</v>
      </c>
      <c r="AZ85" s="8">
        <v>1</v>
      </c>
      <c r="BA85" s="10" t="str">
        <f t="shared" si="296"/>
        <v/>
      </c>
      <c r="BB85" s="4">
        <v>2</v>
      </c>
      <c r="BC85" s="2" t="s">
        <v>1</v>
      </c>
      <c r="BD85" s="8">
        <v>1</v>
      </c>
      <c r="BE85" s="10" t="str">
        <f t="shared" si="297"/>
        <v/>
      </c>
      <c r="BF85" s="4">
        <v>2</v>
      </c>
      <c r="BG85" s="2" t="s">
        <v>1</v>
      </c>
      <c r="BH85" s="8">
        <v>1</v>
      </c>
      <c r="BI85" s="10" t="str">
        <f t="shared" si="298"/>
        <v/>
      </c>
      <c r="BJ85" s="4">
        <v>1</v>
      </c>
      <c r="BK85" s="2" t="s">
        <v>1</v>
      </c>
      <c r="BL85" s="8">
        <v>1</v>
      </c>
      <c r="BM85" s="10" t="str">
        <f t="shared" si="299"/>
        <v/>
      </c>
      <c r="BN85" s="4">
        <v>1</v>
      </c>
      <c r="BO85" s="2" t="s">
        <v>1</v>
      </c>
      <c r="BP85" s="8">
        <v>0</v>
      </c>
      <c r="BQ85" s="10" t="str">
        <f t="shared" si="300"/>
        <v/>
      </c>
      <c r="BR85" s="4">
        <v>1</v>
      </c>
      <c r="BS85" s="2" t="s">
        <v>1</v>
      </c>
      <c r="BT85" s="8">
        <v>1</v>
      </c>
      <c r="BU85" s="10" t="str">
        <f t="shared" si="301"/>
        <v/>
      </c>
      <c r="BV85" s="4">
        <v>1</v>
      </c>
      <c r="BW85" s="2" t="s">
        <v>1</v>
      </c>
      <c r="BX85" s="8">
        <v>1</v>
      </c>
      <c r="BY85" s="10" t="str">
        <f t="shared" si="302"/>
        <v/>
      </c>
      <c r="BZ85" s="4">
        <v>2</v>
      </c>
      <c r="CA85" s="2" t="s">
        <v>1</v>
      </c>
      <c r="CB85" s="8">
        <v>1</v>
      </c>
      <c r="CC85" s="10" t="str">
        <f t="shared" si="303"/>
        <v/>
      </c>
      <c r="CD85" s="4">
        <v>1</v>
      </c>
      <c r="CE85" s="2" t="s">
        <v>1</v>
      </c>
      <c r="CF85" s="8">
        <v>0</v>
      </c>
      <c r="CG85" s="10" t="str">
        <f t="shared" si="304"/>
        <v/>
      </c>
      <c r="CH85" s="4">
        <v>2</v>
      </c>
      <c r="CI85" s="2" t="s">
        <v>1</v>
      </c>
      <c r="CJ85" s="8">
        <v>1</v>
      </c>
      <c r="CK85" s="10" t="str">
        <f t="shared" si="305"/>
        <v/>
      </c>
      <c r="CL85" s="4">
        <v>1</v>
      </c>
      <c r="CM85" s="2" t="s">
        <v>1</v>
      </c>
      <c r="CN85" s="8">
        <v>2</v>
      </c>
      <c r="CO85" s="10" t="str">
        <f t="shared" si="306"/>
        <v/>
      </c>
      <c r="CP85" s="4">
        <v>3</v>
      </c>
      <c r="CQ85" s="2" t="s">
        <v>1</v>
      </c>
      <c r="CR85" s="8">
        <v>1</v>
      </c>
      <c r="CS85" s="10" t="str">
        <f t="shared" si="307"/>
        <v/>
      </c>
      <c r="CT85" s="4">
        <v>1</v>
      </c>
      <c r="CU85" s="2" t="s">
        <v>1</v>
      </c>
      <c r="CV85" s="8">
        <v>1</v>
      </c>
      <c r="CW85" s="10" t="str">
        <f t="shared" si="308"/>
        <v/>
      </c>
      <c r="CX85" s="4">
        <v>2</v>
      </c>
      <c r="CY85" s="2" t="s">
        <v>1</v>
      </c>
      <c r="CZ85" s="8">
        <v>1</v>
      </c>
      <c r="DA85" s="10" t="str">
        <f t="shared" si="309"/>
        <v/>
      </c>
      <c r="DB85" s="4">
        <v>1</v>
      </c>
      <c r="DC85" s="2" t="s">
        <v>1</v>
      </c>
      <c r="DD85" s="8">
        <v>0</v>
      </c>
      <c r="DE85" s="10" t="str">
        <f t="shared" si="310"/>
        <v/>
      </c>
      <c r="DF85" s="4">
        <v>2</v>
      </c>
      <c r="DG85" s="2" t="s">
        <v>1</v>
      </c>
      <c r="DH85" s="8">
        <v>2</v>
      </c>
      <c r="DI85" s="10" t="str">
        <f t="shared" si="311"/>
        <v/>
      </c>
    </row>
    <row r="86" spans="2:113" ht="15" thickBot="1" x14ac:dyDescent="0.35">
      <c r="B86" s="184" t="s">
        <v>126</v>
      </c>
      <c r="C86" s="185"/>
      <c r="D86" s="185"/>
      <c r="E86" s="185"/>
      <c r="F86" s="185"/>
      <c r="G86" s="185"/>
      <c r="H86" s="185"/>
      <c r="I86" s="186"/>
      <c r="J86" s="187">
        <f>SUM(M3:M85)</f>
        <v>7</v>
      </c>
      <c r="K86" s="188"/>
      <c r="L86" s="188"/>
      <c r="M86" s="189"/>
      <c r="N86" s="166">
        <f>SUM(Q3:Q85)</f>
        <v>7</v>
      </c>
      <c r="O86" s="167"/>
      <c r="P86" s="167"/>
      <c r="Q86" s="168"/>
      <c r="R86" s="172">
        <f>SUM(U3:U85)</f>
        <v>2</v>
      </c>
      <c r="S86" s="173"/>
      <c r="T86" s="173"/>
      <c r="U86" s="174"/>
      <c r="V86" s="175">
        <f>SUM(Y3:Y85)</f>
        <v>5</v>
      </c>
      <c r="W86" s="176"/>
      <c r="X86" s="176"/>
      <c r="Y86" s="177"/>
      <c r="Z86" s="169">
        <f>SUM(AC3:AC85)</f>
        <v>4</v>
      </c>
      <c r="AA86" s="170"/>
      <c r="AB86" s="170"/>
      <c r="AC86" s="171"/>
      <c r="AD86" s="178">
        <f>SUM(AG3:AG85)</f>
        <v>5</v>
      </c>
      <c r="AE86" s="179"/>
      <c r="AF86" s="179"/>
      <c r="AG86" s="180"/>
      <c r="AH86" s="181">
        <f>SUM(AK3:AK85)</f>
        <v>2</v>
      </c>
      <c r="AI86" s="182"/>
      <c r="AJ86" s="182"/>
      <c r="AK86" s="183"/>
      <c r="AL86" s="190">
        <f>SUM(AO3:AO85)</f>
        <v>1</v>
      </c>
      <c r="AM86" s="191"/>
      <c r="AN86" s="191"/>
      <c r="AO86" s="192"/>
      <c r="AP86" s="193">
        <f>SUM(AS3:AS85)</f>
        <v>2</v>
      </c>
      <c r="AQ86" s="194"/>
      <c r="AR86" s="194"/>
      <c r="AS86" s="195"/>
      <c r="AT86" s="196">
        <f>SUM(AW3:AW85)</f>
        <v>4</v>
      </c>
      <c r="AU86" s="197"/>
      <c r="AV86" s="197"/>
      <c r="AW86" s="198"/>
      <c r="AX86" s="166">
        <f>SUM(BA3:BA85)</f>
        <v>1</v>
      </c>
      <c r="AY86" s="167"/>
      <c r="AZ86" s="167"/>
      <c r="BA86" s="168"/>
      <c r="BB86" s="187">
        <f>SUM(BE3:BE85)</f>
        <v>4</v>
      </c>
      <c r="BC86" s="188"/>
      <c r="BD86" s="188"/>
      <c r="BE86" s="189"/>
      <c r="BF86" s="205">
        <f>SUM(BI3:BI85)</f>
        <v>5</v>
      </c>
      <c r="BG86" s="206"/>
      <c r="BH86" s="206"/>
      <c r="BI86" s="207"/>
      <c r="BJ86" s="208">
        <f>SUM(BM3:BM85)</f>
        <v>2</v>
      </c>
      <c r="BK86" s="209"/>
      <c r="BL86" s="209"/>
      <c r="BM86" s="210"/>
      <c r="BN86" s="211">
        <f>SUM(BQ3:BQ85)</f>
        <v>4</v>
      </c>
      <c r="BO86" s="212"/>
      <c r="BP86" s="212"/>
      <c r="BQ86" s="213"/>
      <c r="BR86" s="190">
        <f>SUM(BU3:BU85)</f>
        <v>10</v>
      </c>
      <c r="BS86" s="191"/>
      <c r="BT86" s="191"/>
      <c r="BU86" s="192"/>
      <c r="BV86" s="223">
        <f>SUM(BY3:BY85)</f>
        <v>7</v>
      </c>
      <c r="BW86" s="224"/>
      <c r="BX86" s="224"/>
      <c r="BY86" s="225"/>
      <c r="BZ86" s="193">
        <f>SUM(CC3:CC85)</f>
        <v>2</v>
      </c>
      <c r="CA86" s="194"/>
      <c r="CB86" s="194"/>
      <c r="CC86" s="195"/>
      <c r="CD86" s="199">
        <f>SUM(CG3:CG85)</f>
        <v>4</v>
      </c>
      <c r="CE86" s="200"/>
      <c r="CF86" s="200"/>
      <c r="CG86" s="201"/>
      <c r="CH86" s="217">
        <f>SUM(CK3:CK85)</f>
        <v>2</v>
      </c>
      <c r="CI86" s="218"/>
      <c r="CJ86" s="218"/>
      <c r="CK86" s="219"/>
      <c r="CL86" s="175">
        <f>SUM(CO3:CO85)</f>
        <v>2</v>
      </c>
      <c r="CM86" s="176"/>
      <c r="CN86" s="176"/>
      <c r="CO86" s="177"/>
      <c r="CP86" s="220">
        <f>SUM(CS3:CS85)</f>
        <v>2</v>
      </c>
      <c r="CQ86" s="221"/>
      <c r="CR86" s="221"/>
      <c r="CS86" s="222"/>
      <c r="CT86" s="166">
        <f>SUM(CW3:CW85)</f>
        <v>10</v>
      </c>
      <c r="CU86" s="167"/>
      <c r="CV86" s="167"/>
      <c r="CW86" s="168"/>
      <c r="CX86" s="160">
        <f>SUM(DA3:DA85)</f>
        <v>1</v>
      </c>
      <c r="CY86" s="161"/>
      <c r="CZ86" s="161"/>
      <c r="DA86" s="162"/>
      <c r="DB86" s="163">
        <f>SUM(DE3:DE85)</f>
        <v>2</v>
      </c>
      <c r="DC86" s="164"/>
      <c r="DD86" s="164"/>
      <c r="DE86" s="165"/>
      <c r="DF86" s="157">
        <f>SUM(DI3:DI85)</f>
        <v>1</v>
      </c>
      <c r="DG86" s="158"/>
      <c r="DH86" s="158"/>
      <c r="DI86" s="159"/>
    </row>
    <row r="87" spans="2:113" x14ac:dyDescent="0.3">
      <c r="E87" s="44"/>
    </row>
    <row r="88" spans="2:113" x14ac:dyDescent="0.3">
      <c r="E88" s="44"/>
    </row>
    <row r="89" spans="2:113" x14ac:dyDescent="0.3">
      <c r="E89" s="44"/>
    </row>
    <row r="90" spans="2:113" x14ac:dyDescent="0.3">
      <c r="E90" s="44"/>
    </row>
    <row r="91" spans="2:113" x14ac:dyDescent="0.3">
      <c r="E91" s="44"/>
    </row>
    <row r="92" spans="2:113" x14ac:dyDescent="0.3">
      <c r="E92" s="44"/>
    </row>
    <row r="93" spans="2:113" x14ac:dyDescent="0.3">
      <c r="E93" s="44"/>
    </row>
    <row r="94" spans="2:113" x14ac:dyDescent="0.3">
      <c r="E94" s="44"/>
    </row>
    <row r="95" spans="2:113" x14ac:dyDescent="0.3">
      <c r="E95" s="44"/>
    </row>
    <row r="96" spans="2:113" x14ac:dyDescent="0.3">
      <c r="E96" s="44"/>
    </row>
    <row r="97" spans="5:5" x14ac:dyDescent="0.3">
      <c r="E97" s="44"/>
    </row>
    <row r="98" spans="5:5" x14ac:dyDescent="0.3">
      <c r="E98" s="44"/>
    </row>
    <row r="99" spans="5:5" x14ac:dyDescent="0.3">
      <c r="E99" s="44"/>
    </row>
    <row r="100" spans="5:5" x14ac:dyDescent="0.3">
      <c r="E100" s="44"/>
    </row>
    <row r="101" spans="5:5" x14ac:dyDescent="0.3">
      <c r="E101" s="44"/>
    </row>
    <row r="102" spans="5:5" x14ac:dyDescent="0.3">
      <c r="E102" s="44"/>
    </row>
    <row r="103" spans="5:5" x14ac:dyDescent="0.3">
      <c r="E103" s="44"/>
    </row>
    <row r="104" spans="5:5" x14ac:dyDescent="0.3">
      <c r="E104" s="44"/>
    </row>
    <row r="105" spans="5:5" x14ac:dyDescent="0.3">
      <c r="E105" s="44"/>
    </row>
    <row r="106" spans="5:5" x14ac:dyDescent="0.3">
      <c r="E106" s="44"/>
    </row>
    <row r="107" spans="5:5" x14ac:dyDescent="0.3">
      <c r="E107" s="44"/>
    </row>
    <row r="108" spans="5:5" x14ac:dyDescent="0.3">
      <c r="E108" s="44"/>
    </row>
    <row r="109" spans="5:5" x14ac:dyDescent="0.3">
      <c r="E109" s="44"/>
    </row>
    <row r="110" spans="5:5" x14ac:dyDescent="0.3">
      <c r="E110" s="44"/>
    </row>
    <row r="111" spans="5:5" x14ac:dyDescent="0.3">
      <c r="E111" s="44"/>
    </row>
    <row r="112" spans="5:5" x14ac:dyDescent="0.3">
      <c r="E112" s="44"/>
    </row>
    <row r="113" spans="5:5" x14ac:dyDescent="0.3">
      <c r="E113" s="44"/>
    </row>
    <row r="114" spans="5:5" x14ac:dyDescent="0.3">
      <c r="E114" s="44"/>
    </row>
    <row r="115" spans="5:5" x14ac:dyDescent="0.3">
      <c r="E115" s="44"/>
    </row>
    <row r="116" spans="5:5" x14ac:dyDescent="0.3">
      <c r="E116" s="44"/>
    </row>
    <row r="117" spans="5:5" x14ac:dyDescent="0.3">
      <c r="E117" s="44"/>
    </row>
    <row r="118" spans="5:5" x14ac:dyDescent="0.3">
      <c r="E118" s="44"/>
    </row>
    <row r="119" spans="5:5" x14ac:dyDescent="0.3">
      <c r="E119" s="44"/>
    </row>
    <row r="120" spans="5:5" x14ac:dyDescent="0.3">
      <c r="E120" s="44"/>
    </row>
    <row r="121" spans="5:5" x14ac:dyDescent="0.3">
      <c r="E121" s="44"/>
    </row>
  </sheetData>
  <mergeCells count="65">
    <mergeCell ref="CT2:CW2"/>
    <mergeCell ref="CT86:CW86"/>
    <mergeCell ref="BB2:BE2"/>
    <mergeCell ref="BB86:BE86"/>
    <mergeCell ref="BR2:BU2"/>
    <mergeCell ref="BR86:BU86"/>
    <mergeCell ref="CH2:CK2"/>
    <mergeCell ref="CH86:CK86"/>
    <mergeCell ref="CL2:CO2"/>
    <mergeCell ref="CL86:CO86"/>
    <mergeCell ref="CP2:CS2"/>
    <mergeCell ref="CP86:CS86"/>
    <mergeCell ref="BV2:BY2"/>
    <mergeCell ref="BV86:BY86"/>
    <mergeCell ref="BZ2:CC2"/>
    <mergeCell ref="BZ86:CC86"/>
    <mergeCell ref="CD2:CG2"/>
    <mergeCell ref="CD86:CG86"/>
    <mergeCell ref="BF2:BI2"/>
    <mergeCell ref="BF86:BI86"/>
    <mergeCell ref="BJ2:BM2"/>
    <mergeCell ref="BJ86:BM86"/>
    <mergeCell ref="BN2:BQ2"/>
    <mergeCell ref="BN86:BQ86"/>
    <mergeCell ref="AP2:AS2"/>
    <mergeCell ref="AP86:AS86"/>
    <mergeCell ref="AT2:AW2"/>
    <mergeCell ref="AT86:AW86"/>
    <mergeCell ref="AX2:BA2"/>
    <mergeCell ref="AX86:BA86"/>
    <mergeCell ref="D58:F58"/>
    <mergeCell ref="D79:F79"/>
    <mergeCell ref="D72:F72"/>
    <mergeCell ref="AL2:AO2"/>
    <mergeCell ref="AL86:AO86"/>
    <mergeCell ref="AD2:AG2"/>
    <mergeCell ref="AD86:AG86"/>
    <mergeCell ref="AH2:AK2"/>
    <mergeCell ref="AH86:AK86"/>
    <mergeCell ref="D37:F37"/>
    <mergeCell ref="D30:F30"/>
    <mergeCell ref="D23:F23"/>
    <mergeCell ref="D2:F2"/>
    <mergeCell ref="J2:M2"/>
    <mergeCell ref="D16:F16"/>
    <mergeCell ref="D9:F9"/>
    <mergeCell ref="D51:F51"/>
    <mergeCell ref="B86:I86"/>
    <mergeCell ref="J86:M86"/>
    <mergeCell ref="D44:F44"/>
    <mergeCell ref="D65:F65"/>
    <mergeCell ref="N2:Q2"/>
    <mergeCell ref="N86:Q86"/>
    <mergeCell ref="Z2:AC2"/>
    <mergeCell ref="Z86:AC86"/>
    <mergeCell ref="R2:U2"/>
    <mergeCell ref="R86:U86"/>
    <mergeCell ref="V2:Y2"/>
    <mergeCell ref="V86:Y86"/>
    <mergeCell ref="DF2:DI2"/>
    <mergeCell ref="DF86:DI86"/>
    <mergeCell ref="CX2:DA2"/>
    <mergeCell ref="DB2:DE2"/>
    <mergeCell ref="CX86:DA86"/>
    <mergeCell ref="DB86:DE86"/>
  </mergeCells>
  <conditionalFormatting sqref="M3:M8 M10:M15 M17:M22 M24:M29 M31:M36 M38:M43 M45:M50 M52:M57 M59:M64 M66:M71 M73:M78 M80:M85">
    <cfRule type="colorScale" priority="48">
      <colorScale>
        <cfvo type="num" val="0"/>
        <cfvo type="num" val="3"/>
        <color theme="0"/>
        <color theme="9"/>
      </colorScale>
    </cfRule>
  </conditionalFormatting>
  <conditionalFormatting sqref="Q3:Q8 Q10:Q15 Q17:Q22 Q24:Q29 Q31:Q36 Q38:Q43 Q45:Q50 Q52:Q57 Q59:Q64 Q66:Q71 Q73:Q78 Q80:Q85">
    <cfRule type="colorScale" priority="24">
      <colorScale>
        <cfvo type="num" val="0"/>
        <cfvo type="num" val="3"/>
        <color theme="0"/>
        <color theme="9"/>
      </colorScale>
    </cfRule>
  </conditionalFormatting>
  <conditionalFormatting sqref="U3:U8 U10:U15 U17:U22 U24:U29 U31:U36 U38:U43 U45:U50 U52:U57 U59:U64 U66:U71 U73:U78 U80:U85">
    <cfRule type="colorScale" priority="23">
      <colorScale>
        <cfvo type="num" val="0"/>
        <cfvo type="num" val="3"/>
        <color theme="0"/>
        <color theme="9"/>
      </colorScale>
    </cfRule>
  </conditionalFormatting>
  <conditionalFormatting sqref="Y3:Y8 Y10:Y15 Y17:Y22 Y24:Y29 Y31:Y36 Y38:Y43 Y45:Y50 Y52:Y57 Y59:Y64 Y66:Y71 Y73:Y78 Y80:Y85">
    <cfRule type="colorScale" priority="22">
      <colorScale>
        <cfvo type="num" val="0"/>
        <cfvo type="num" val="3"/>
        <color theme="0"/>
        <color theme="9"/>
      </colorScale>
    </cfRule>
  </conditionalFormatting>
  <conditionalFormatting sqref="AC3:AC8 AC10:AC15 AC17:AC22 AC24:AC29 AC31:AC36 AC38:AC43 AC45:AC50 AC52:AC57 AC59:AC64 AC66:AC71 AC73:AC78 AC80:AC85">
    <cfRule type="colorScale" priority="21">
      <colorScale>
        <cfvo type="num" val="0"/>
        <cfvo type="num" val="3"/>
        <color theme="0"/>
        <color theme="9"/>
      </colorScale>
    </cfRule>
  </conditionalFormatting>
  <conditionalFormatting sqref="AG3:AG8 AG10:AG15 AG17:AG22 AG24:AG29 AG31:AG36 AG38:AG43 AG45:AG50 AG52:AG57 AG59:AG64 AG66:AG71 AG73:AG78 AG80:AG85">
    <cfRule type="colorScale" priority="20">
      <colorScale>
        <cfvo type="num" val="0"/>
        <cfvo type="num" val="3"/>
        <color theme="0"/>
        <color theme="9"/>
      </colorScale>
    </cfRule>
  </conditionalFormatting>
  <conditionalFormatting sqref="AK3:AK8 AK10:AK15 AK17:AK22 AK24:AK29 AK31:AK36 AK38:AK43 AK45:AK50 AK52:AK57 AK59:AK64 AK66:AK71 AK73:AK78 AK80:AK85">
    <cfRule type="colorScale" priority="19">
      <colorScale>
        <cfvo type="num" val="0"/>
        <cfvo type="num" val="3"/>
        <color theme="0"/>
        <color theme="9"/>
      </colorScale>
    </cfRule>
  </conditionalFormatting>
  <conditionalFormatting sqref="AO3:AO8 AO10:AO15 AO17:AO22 AO24:AO29 AO31:AO36 AO38:AO43 AO45:AO50 AO52:AO57 AO59:AO64 AO66:AO71 AO73:AO78 AO80:AO85">
    <cfRule type="colorScale" priority="18">
      <colorScale>
        <cfvo type="num" val="0"/>
        <cfvo type="num" val="3"/>
        <color theme="0"/>
        <color theme="9"/>
      </colorScale>
    </cfRule>
  </conditionalFormatting>
  <conditionalFormatting sqref="AS3:AS8 AS10:AS15 AS17:AS22 AS24:AS29 AS31:AS36 AS38:AS43 AS45:AS50 AS52:AS57 AS59:AS64 AS66:AS71 AS73:AS78 AS80:AS85">
    <cfRule type="colorScale" priority="17">
      <colorScale>
        <cfvo type="num" val="0"/>
        <cfvo type="num" val="3"/>
        <color theme="0"/>
        <color theme="9"/>
      </colorScale>
    </cfRule>
  </conditionalFormatting>
  <conditionalFormatting sqref="AW3:AW8 AW10:AW15 AW17:AW22 AW24:AW29 AW31:AW36 AW38:AW43 AW45:AW50 AW52:AW57 AW59:AW64 AW66:AW71 AW73:AW78 AW80:AW85">
    <cfRule type="colorScale" priority="16">
      <colorScale>
        <cfvo type="num" val="0"/>
        <cfvo type="num" val="3"/>
        <color theme="0"/>
        <color theme="9"/>
      </colorScale>
    </cfRule>
  </conditionalFormatting>
  <conditionalFormatting sqref="BA3:BA8 BA10:BA15 BA17:BA22 BA24:BA29 BA31:BA36 BA38:BA43 BA45:BA50 BA52:BA57 BA59:BA64 BA66:BA71 BA73:BA78 BA80:BA85">
    <cfRule type="colorScale" priority="15">
      <colorScale>
        <cfvo type="num" val="0"/>
        <cfvo type="num" val="3"/>
        <color theme="0"/>
        <color theme="9"/>
      </colorScale>
    </cfRule>
  </conditionalFormatting>
  <conditionalFormatting sqref="BE3:BE8 BE10:BE15 BE17:BE22 BE24:BE29 BE31:BE36 BE38:BE43 BE45:BE50 BE52:BE57 BE59:BE64 BE66:BE71 BE73:BE78 BE80:BE85">
    <cfRule type="colorScale" priority="5">
      <colorScale>
        <cfvo type="num" val="0"/>
        <cfvo type="num" val="3"/>
        <color theme="0"/>
        <color theme="9"/>
      </colorScale>
    </cfRule>
  </conditionalFormatting>
  <conditionalFormatting sqref="BI3:BI8 BI10:BI15 BI17:BI22 BI24:BI29 BI31:BI36 BI38:BI43 BI45:BI50 BI52:BI57 BI59:BI64 BI66:BI71 BI73:BI78 BI80:BI85">
    <cfRule type="colorScale" priority="14">
      <colorScale>
        <cfvo type="num" val="0"/>
        <cfvo type="num" val="3"/>
        <color theme="0"/>
        <color theme="9"/>
      </colorScale>
    </cfRule>
  </conditionalFormatting>
  <conditionalFormatting sqref="BM3:BM8 BM10:BM15 BM17:BM22 BM24:BM29 BM31:BM36 BM38:BM43 BM45:BM50 BM52:BM57 BM59:BM64 BM66:BM71 BM73:BM78 BM80:BM85">
    <cfRule type="colorScale" priority="13">
      <colorScale>
        <cfvo type="num" val="0"/>
        <cfvo type="num" val="3"/>
        <color theme="0"/>
        <color theme="9"/>
      </colorScale>
    </cfRule>
  </conditionalFormatting>
  <conditionalFormatting sqref="BQ3:BQ8 BQ10:BQ15 BQ17:BQ22 BQ24:BQ29 BQ31:BQ36 BQ38:BQ43 BQ45:BQ50 BQ52:BQ57 BQ59:BQ64 BQ66:BQ71 BQ73:BQ78 BQ80:BQ85">
    <cfRule type="colorScale" priority="32">
      <colorScale>
        <cfvo type="num" val="0"/>
        <cfvo type="num" val="3"/>
        <color theme="0"/>
        <color theme="9"/>
      </colorScale>
    </cfRule>
  </conditionalFormatting>
  <conditionalFormatting sqref="BU3:BU8 BU10:BU15 BU17:BU22 BU24:BU29 BU31:BU36 BU38:BU43 BU45:BU50 BU52:BU57 BU59:BU64 BU66:BU71 BU73:BU78 BU80:BU85">
    <cfRule type="colorScale" priority="4">
      <colorScale>
        <cfvo type="num" val="0"/>
        <cfvo type="num" val="3"/>
        <color theme="0"/>
        <color theme="9"/>
      </colorScale>
    </cfRule>
  </conditionalFormatting>
  <conditionalFormatting sqref="BY3:BY8 BY10:BY15 BY17:BY22 BY24:BY29 BY31:BY36 BY38:BY43 BY45:BY50 BY52:BY57 BY59:BY64 BY66:BY71 BY73:BY78 BY80:BY85">
    <cfRule type="colorScale" priority="12">
      <colorScale>
        <cfvo type="num" val="0"/>
        <cfvo type="num" val="3"/>
        <color theme="0"/>
        <color theme="9"/>
      </colorScale>
    </cfRule>
  </conditionalFormatting>
  <conditionalFormatting sqref="CC3:CC8 CC10:CC15 CC17:CC22 CC24:CC29 CC31:CC36 CC38:CC43 CC45:CC50 CC52:CC57 CC59:CC64 CC66:CC71 CC73:CC78 CC80:CC85">
    <cfRule type="colorScale" priority="11">
      <colorScale>
        <cfvo type="num" val="0"/>
        <cfvo type="num" val="3"/>
        <color theme="0"/>
        <color theme="9"/>
      </colorScale>
    </cfRule>
  </conditionalFormatting>
  <conditionalFormatting sqref="CG3:CG8 CG10:CG15 CG17:CG22 CG24:CG29 CG31:CG36 CG38:CG43 CG45:CG50 CG52:CG57 CG59:CG64 CG66:CG71 CG73:CG78 CG80:CG85">
    <cfRule type="colorScale" priority="10">
      <colorScale>
        <cfvo type="num" val="0"/>
        <cfvo type="num" val="3"/>
        <color theme="0"/>
        <color theme="9"/>
      </colorScale>
    </cfRule>
  </conditionalFormatting>
  <conditionalFormatting sqref="CK3:CK8 CK10:CK15 CK17:CK22 CK24:CK29 CK31:CK36 CK38:CK43 CK45:CK50 CK52:CK57 CK59:CK64 CK66:CK71 CK73:CK78 CK80:CK85">
    <cfRule type="colorScale" priority="9">
      <colorScale>
        <cfvo type="num" val="0"/>
        <cfvo type="num" val="3"/>
        <color theme="0"/>
        <color theme="9"/>
      </colorScale>
    </cfRule>
  </conditionalFormatting>
  <conditionalFormatting sqref="CO3:CO8 CO10:CO15 CO17:CO22 CO24:CO29 CO31:CO36 CO38:CO43 CO45:CO50 CO52:CO57 CO59:CO64 CO66:CO71 CO73:CO78 CO80:CO85">
    <cfRule type="colorScale" priority="8">
      <colorScale>
        <cfvo type="num" val="0"/>
        <cfvo type="num" val="3"/>
        <color theme="0"/>
        <color theme="9"/>
      </colorScale>
    </cfRule>
  </conditionalFormatting>
  <conditionalFormatting sqref="CS3:CS8 CS80:CS85 CS10:CS15 CS17:CS22 CS24:CS29 CS31:CS36 CS38:CS43 CS45:CS50 CS52:CS57 CS59:CS64 CS66:CS71 CS73:CS78">
    <cfRule type="colorScale" priority="7">
      <colorScale>
        <cfvo type="num" val="0"/>
        <cfvo type="num" val="3"/>
        <color theme="0"/>
        <color theme="9"/>
      </colorScale>
    </cfRule>
  </conditionalFormatting>
  <conditionalFormatting sqref="CW3:CW8 CW10:CW15 CW17:CW22 CW24:CW29 CW31:CW36 CW38:CW43 CW45:CW50 CW52:CW57 CW59:CW64 CW66:CW71 CW73:CW78 CW80:CW85 DM3:DM8 DM10:DM15 DM17:DM22 DM24:DM29 DM31:DM36 DM38:DM43 DM45:DM50 DM52:DM57 DM59:DM64 DM66:DM71 DM73:DM78 DM80:DM85 DU3:DU8 DU10:DU15 DU17:DU22 DU24:DU29 DU31:DU36 DU38:DU43 DU45:DU50 DU52:DU57 DU59:DU64 DU66:DU71 DU73:DU78 DU80:DU85">
    <cfRule type="colorScale" priority="6">
      <colorScale>
        <cfvo type="num" val="0"/>
        <cfvo type="num" val="3"/>
        <color theme="0"/>
        <color theme="9"/>
      </colorScale>
    </cfRule>
  </conditionalFormatting>
  <conditionalFormatting sqref="DA3:DA8 DA10:DA15 DA17:DA22 DA24:DA29 DA31:DA36 DA38:DA43 DA45:DA50 DA52:DA57 DA59:DA64 DA66:DA71 DA73:DA78 DA80:DA85">
    <cfRule type="colorScale" priority="3">
      <colorScale>
        <cfvo type="num" val="0"/>
        <cfvo type="num" val="3"/>
        <color theme="0"/>
        <color theme="9"/>
      </colorScale>
    </cfRule>
  </conditionalFormatting>
  <conditionalFormatting sqref="DE3:DE8 DE80:DE85 DE10:DE15 DE17:DE22 DE24:DE29 DE31:DE36 DE38:DE43 DE45:DE50 DE52:DE57 DE59:DE64 DE66:DE71 DE73:DE78 DI3:DI8 DI80:DI85 DI10:DI15 DI17:DI22 DI24:DI29 DI31:DI36 DI38:DI43 DI45:DI50 DI52:DI57 DI59:DI64 DI66:DI71 DI73:DI78">
    <cfRule type="colorScale" priority="2">
      <colorScale>
        <cfvo type="num" val="0"/>
        <cfvo type="num" val="3"/>
        <color theme="0"/>
        <color theme="9"/>
      </colorScale>
    </cfRule>
  </conditionalFormatting>
  <conditionalFormatting sqref="DQ3:DQ8 DQ80:DQ85 DQ10:DQ15 DQ17:DQ22 DQ24:DQ29 DQ31:DQ36 DQ38:DQ43 DQ45:DQ50 DQ52:DQ57 DQ59:DQ64 DQ66:DQ71 DQ73:DQ78">
    <cfRule type="colorScale" priority="1">
      <colorScale>
        <cfvo type="num" val="0"/>
        <cfvo type="num" val="3"/>
        <color theme="0"/>
        <color theme="9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0114-FB52-48EB-B9E8-BE1CEF0426EF}">
  <dimension ref="B1:DI58"/>
  <sheetViews>
    <sheetView topLeftCell="AA1" zoomScale="85" zoomScaleNormal="85" workbookViewId="0">
      <selection activeCell="DF40" activeCellId="5" sqref="DF19:DI19 DF28:DI28 DF33:DI33 DF36:DI36 DF38:DI38 DF40:DI40"/>
    </sheetView>
  </sheetViews>
  <sheetFormatPr baseColWidth="10" defaultColWidth="11.44140625" defaultRowHeight="14.4" x14ac:dyDescent="0.3"/>
  <cols>
    <col min="1" max="1" width="4" style="44" customWidth="1"/>
    <col min="2" max="2" width="7.109375" style="45" bestFit="1" customWidth="1"/>
    <col min="3" max="3" width="5.5546875" style="44" bestFit="1" customWidth="1"/>
    <col min="4" max="4" width="18.88671875" style="44" bestFit="1" customWidth="1"/>
    <col min="5" max="5" width="1.6640625" style="46" bestFit="1" customWidth="1"/>
    <col min="6" max="6" width="18.88671875" style="44" bestFit="1" customWidth="1"/>
    <col min="7" max="7" width="3.5546875" style="44" customWidth="1"/>
    <col min="8" max="8" width="1.44140625" style="44" customWidth="1"/>
    <col min="9" max="9" width="3.5546875" style="44" customWidth="1"/>
    <col min="10" max="10" width="3.109375" style="44" customWidth="1"/>
    <col min="11" max="11" width="1.44140625" style="44" customWidth="1"/>
    <col min="12" max="12" width="3.109375" style="44" customWidth="1"/>
    <col min="13" max="13" width="2.88671875" style="44" customWidth="1"/>
    <col min="14" max="14" width="3.109375" style="44" customWidth="1"/>
    <col min="15" max="15" width="1.44140625" style="44" customWidth="1"/>
    <col min="16" max="16" width="3.109375" style="44" customWidth="1"/>
    <col min="17" max="17" width="2.88671875" style="44" customWidth="1"/>
    <col min="18" max="18" width="3.109375" style="44" customWidth="1"/>
    <col min="19" max="19" width="1.44140625" style="44" customWidth="1"/>
    <col min="20" max="20" width="3.109375" style="44" customWidth="1"/>
    <col min="21" max="21" width="2.88671875" style="44" customWidth="1"/>
    <col min="22" max="22" width="3.109375" style="44" customWidth="1"/>
    <col min="23" max="23" width="1.44140625" style="44" customWidth="1"/>
    <col min="24" max="24" width="3.109375" style="44" customWidth="1"/>
    <col min="25" max="25" width="2.88671875" style="44" customWidth="1"/>
    <col min="26" max="26" width="3.109375" style="44" customWidth="1"/>
    <col min="27" max="27" width="1.44140625" style="44" customWidth="1"/>
    <col min="28" max="28" width="3.109375" style="44" customWidth="1"/>
    <col min="29" max="29" width="2.88671875" style="44" customWidth="1"/>
    <col min="30" max="30" width="3.109375" style="44" customWidth="1"/>
    <col min="31" max="31" width="1.44140625" style="44" customWidth="1"/>
    <col min="32" max="32" width="3.109375" style="44" customWidth="1"/>
    <col min="33" max="33" width="2.88671875" style="44" customWidth="1"/>
    <col min="34" max="34" width="3.109375" style="44" customWidth="1"/>
    <col min="35" max="35" width="1.44140625" style="44" customWidth="1"/>
    <col min="36" max="36" width="3.109375" style="44" customWidth="1"/>
    <col min="37" max="37" width="2.88671875" style="44" customWidth="1"/>
    <col min="38" max="38" width="3.109375" style="44" customWidth="1"/>
    <col min="39" max="39" width="1.44140625" style="44" customWidth="1"/>
    <col min="40" max="40" width="3.109375" style="44" customWidth="1"/>
    <col min="41" max="41" width="2.88671875" style="44" customWidth="1"/>
    <col min="42" max="42" width="3.109375" style="44" customWidth="1"/>
    <col min="43" max="43" width="1.44140625" style="44" customWidth="1"/>
    <col min="44" max="44" width="3.109375" style="44" customWidth="1"/>
    <col min="45" max="45" width="2.88671875" style="44" customWidth="1"/>
    <col min="46" max="46" width="3.109375" style="44" customWidth="1"/>
    <col min="47" max="47" width="1.44140625" style="44" customWidth="1"/>
    <col min="48" max="48" width="3.109375" style="44" customWidth="1"/>
    <col min="49" max="49" width="2.88671875" style="44" customWidth="1"/>
    <col min="50" max="50" width="3.109375" style="44" customWidth="1"/>
    <col min="51" max="51" width="1.44140625" style="44" customWidth="1"/>
    <col min="52" max="52" width="3.109375" style="44" customWidth="1"/>
    <col min="53" max="53" width="2.88671875" style="44" customWidth="1"/>
    <col min="54" max="54" width="3.109375" style="44" customWidth="1"/>
    <col min="55" max="55" width="1.44140625" style="44" customWidth="1"/>
    <col min="56" max="56" width="3.109375" style="44" customWidth="1"/>
    <col min="57" max="57" width="2.88671875" style="44" customWidth="1"/>
    <col min="58" max="58" width="3.109375" style="44" customWidth="1"/>
    <col min="59" max="59" width="1.44140625" style="44" customWidth="1"/>
    <col min="60" max="60" width="3.109375" style="44" customWidth="1"/>
    <col min="61" max="61" width="2.88671875" style="44" customWidth="1"/>
    <col min="62" max="62" width="3.109375" style="44" customWidth="1"/>
    <col min="63" max="63" width="1.44140625" style="44" customWidth="1"/>
    <col min="64" max="64" width="3.109375" style="44" customWidth="1"/>
    <col min="65" max="65" width="2.88671875" style="44" customWidth="1"/>
    <col min="66" max="66" width="3.109375" style="44" customWidth="1"/>
    <col min="67" max="67" width="1.44140625" style="44" customWidth="1"/>
    <col min="68" max="68" width="3.109375" style="44" customWidth="1"/>
    <col min="69" max="69" width="2.88671875" style="44" customWidth="1"/>
    <col min="70" max="70" width="3.109375" style="44" customWidth="1"/>
    <col min="71" max="71" width="1.44140625" style="44" customWidth="1"/>
    <col min="72" max="72" width="3.109375" style="44" customWidth="1"/>
    <col min="73" max="73" width="2.88671875" style="44" customWidth="1"/>
    <col min="74" max="74" width="3.109375" style="44" customWidth="1"/>
    <col min="75" max="75" width="1.44140625" style="44" customWidth="1"/>
    <col min="76" max="76" width="3.109375" style="44" customWidth="1"/>
    <col min="77" max="77" width="2.88671875" style="44" customWidth="1"/>
    <col min="78" max="78" width="3.109375" style="44" customWidth="1"/>
    <col min="79" max="79" width="1.44140625" style="44" customWidth="1"/>
    <col min="80" max="80" width="3.109375" style="44" customWidth="1"/>
    <col min="81" max="81" width="2.88671875" style="44" customWidth="1"/>
    <col min="82" max="82" width="3.109375" style="44" customWidth="1"/>
    <col min="83" max="83" width="1.44140625" style="44" customWidth="1"/>
    <col min="84" max="84" width="3.109375" style="44" customWidth="1"/>
    <col min="85" max="85" width="2.88671875" style="44" customWidth="1"/>
    <col min="86" max="86" width="3.109375" style="44" customWidth="1"/>
    <col min="87" max="87" width="1.44140625" style="44" customWidth="1"/>
    <col min="88" max="88" width="3.109375" style="44" customWidth="1"/>
    <col min="89" max="89" width="2.88671875" style="44" customWidth="1"/>
    <col min="90" max="90" width="3.109375" style="44" customWidth="1"/>
    <col min="91" max="91" width="1.44140625" style="44" customWidth="1"/>
    <col min="92" max="92" width="3.109375" style="44" customWidth="1"/>
    <col min="93" max="93" width="2.88671875" style="44" customWidth="1"/>
    <col min="94" max="94" width="3.109375" style="44" customWidth="1"/>
    <col min="95" max="95" width="1.44140625" style="44" customWidth="1"/>
    <col min="96" max="96" width="3.109375" style="44" customWidth="1"/>
    <col min="97" max="97" width="2.88671875" style="44" customWidth="1"/>
    <col min="98" max="98" width="3.109375" style="44" customWidth="1"/>
    <col min="99" max="99" width="1.44140625" style="44" customWidth="1"/>
    <col min="100" max="100" width="3.109375" style="44" customWidth="1"/>
    <col min="101" max="101" width="2.88671875" style="44" customWidth="1"/>
    <col min="102" max="102" width="3.109375" style="44" customWidth="1"/>
    <col min="103" max="103" width="1.44140625" style="44" customWidth="1"/>
    <col min="104" max="104" width="3.109375" style="44" customWidth="1"/>
    <col min="105" max="105" width="2.88671875" style="44" customWidth="1"/>
    <col min="106" max="106" width="3.109375" style="44" customWidth="1"/>
    <col min="107" max="107" width="1.44140625" style="44" customWidth="1"/>
    <col min="108" max="108" width="3.109375" style="44" customWidth="1"/>
    <col min="109" max="109" width="2.88671875" style="44" customWidth="1"/>
    <col min="110" max="110" width="3.109375" style="44" customWidth="1"/>
    <col min="111" max="111" width="1.44140625" style="44" customWidth="1"/>
    <col min="112" max="112" width="3.109375" style="44" customWidth="1"/>
    <col min="113" max="113" width="2.88671875" style="44" customWidth="1"/>
    <col min="114" max="16384" width="11.44140625" style="44"/>
  </cols>
  <sheetData>
    <row r="1" spans="2:113" ht="15" thickBot="1" x14ac:dyDescent="0.35"/>
    <row r="2" spans="2:113" ht="15" thickBot="1" x14ac:dyDescent="0.35">
      <c r="B2" s="56" t="s">
        <v>77</v>
      </c>
      <c r="C2" s="57" t="s">
        <v>78</v>
      </c>
      <c r="D2" s="232" t="s">
        <v>117</v>
      </c>
      <c r="E2" s="233"/>
      <c r="F2" s="234"/>
      <c r="G2" s="53" t="s">
        <v>7</v>
      </c>
      <c r="H2" s="54"/>
      <c r="I2" s="55"/>
      <c r="J2" s="160" t="s">
        <v>147</v>
      </c>
      <c r="K2" s="161"/>
      <c r="L2" s="161"/>
      <c r="M2" s="162"/>
      <c r="N2" s="166" t="s">
        <v>148</v>
      </c>
      <c r="O2" s="167"/>
      <c r="P2" s="167"/>
      <c r="Q2" s="168"/>
      <c r="R2" s="172" t="s">
        <v>149</v>
      </c>
      <c r="S2" s="173"/>
      <c r="T2" s="173"/>
      <c r="U2" s="174"/>
      <c r="V2" s="175" t="s">
        <v>150</v>
      </c>
      <c r="W2" s="176"/>
      <c r="X2" s="176"/>
      <c r="Y2" s="177"/>
      <c r="Z2" s="169" t="s">
        <v>151</v>
      </c>
      <c r="AA2" s="170"/>
      <c r="AB2" s="170"/>
      <c r="AC2" s="171"/>
      <c r="AD2" s="178" t="s">
        <v>152</v>
      </c>
      <c r="AE2" s="179"/>
      <c r="AF2" s="179"/>
      <c r="AG2" s="180"/>
      <c r="AH2" s="181" t="s">
        <v>163</v>
      </c>
      <c r="AI2" s="182"/>
      <c r="AJ2" s="182"/>
      <c r="AK2" s="183"/>
      <c r="AL2" s="190" t="s">
        <v>157</v>
      </c>
      <c r="AM2" s="191"/>
      <c r="AN2" s="191"/>
      <c r="AO2" s="192"/>
      <c r="AP2" s="193" t="s">
        <v>153</v>
      </c>
      <c r="AQ2" s="194"/>
      <c r="AR2" s="194"/>
      <c r="AS2" s="195"/>
      <c r="AT2" s="196" t="s">
        <v>154</v>
      </c>
      <c r="AU2" s="197"/>
      <c r="AV2" s="197"/>
      <c r="AW2" s="198"/>
      <c r="AX2" s="166" t="s">
        <v>155</v>
      </c>
      <c r="AY2" s="167"/>
      <c r="AZ2" s="167"/>
      <c r="BA2" s="168"/>
      <c r="BB2" s="187" t="s">
        <v>161</v>
      </c>
      <c r="BC2" s="188"/>
      <c r="BD2" s="188"/>
      <c r="BE2" s="189"/>
      <c r="BF2" s="202" t="s">
        <v>156</v>
      </c>
      <c r="BG2" s="203"/>
      <c r="BH2" s="203"/>
      <c r="BI2" s="204"/>
      <c r="BJ2" s="208" t="s">
        <v>162</v>
      </c>
      <c r="BK2" s="209"/>
      <c r="BL2" s="209"/>
      <c r="BM2" s="210"/>
      <c r="BN2" s="211" t="s">
        <v>6</v>
      </c>
      <c r="BO2" s="212"/>
      <c r="BP2" s="212"/>
      <c r="BQ2" s="213"/>
      <c r="BR2" s="190" t="s">
        <v>164</v>
      </c>
      <c r="BS2" s="191"/>
      <c r="BT2" s="191"/>
      <c r="BU2" s="192"/>
      <c r="BV2" s="223" t="s">
        <v>158</v>
      </c>
      <c r="BW2" s="224"/>
      <c r="BX2" s="224"/>
      <c r="BY2" s="225"/>
      <c r="BZ2" s="193" t="s">
        <v>159</v>
      </c>
      <c r="CA2" s="194"/>
      <c r="CB2" s="194"/>
      <c r="CC2" s="195"/>
      <c r="CD2" s="199" t="s">
        <v>160</v>
      </c>
      <c r="CE2" s="200"/>
      <c r="CF2" s="200"/>
      <c r="CG2" s="201"/>
      <c r="CH2" s="214" t="s">
        <v>165</v>
      </c>
      <c r="CI2" s="215"/>
      <c r="CJ2" s="215"/>
      <c r="CK2" s="216"/>
      <c r="CL2" s="175" t="s">
        <v>166</v>
      </c>
      <c r="CM2" s="176"/>
      <c r="CN2" s="176"/>
      <c r="CO2" s="177"/>
      <c r="CP2" s="220" t="s">
        <v>167</v>
      </c>
      <c r="CQ2" s="221"/>
      <c r="CR2" s="221"/>
      <c r="CS2" s="222"/>
      <c r="CT2" s="166" t="s">
        <v>168</v>
      </c>
      <c r="CU2" s="167"/>
      <c r="CV2" s="167"/>
      <c r="CW2" s="168"/>
      <c r="CX2" s="160" t="s">
        <v>169</v>
      </c>
      <c r="CY2" s="161"/>
      <c r="CZ2" s="161"/>
      <c r="DA2" s="162"/>
      <c r="DB2" s="163" t="s">
        <v>170</v>
      </c>
      <c r="DC2" s="164"/>
      <c r="DD2" s="164"/>
      <c r="DE2" s="165"/>
      <c r="DF2" s="157" t="s">
        <v>238</v>
      </c>
      <c r="DG2" s="158"/>
      <c r="DH2" s="158"/>
      <c r="DI2" s="159"/>
    </row>
    <row r="3" spans="2:113" x14ac:dyDescent="0.3">
      <c r="B3" s="25">
        <v>46201</v>
      </c>
      <c r="C3" s="26" t="s">
        <v>63</v>
      </c>
      <c r="D3" s="27"/>
      <c r="E3" s="28" t="s">
        <v>1</v>
      </c>
      <c r="F3" s="29"/>
      <c r="G3" s="27"/>
      <c r="H3" s="28" t="s">
        <v>1</v>
      </c>
      <c r="I3" s="29"/>
      <c r="J3" s="3"/>
      <c r="K3" s="1" t="s">
        <v>1</v>
      </c>
      <c r="L3" s="7"/>
      <c r="M3" s="11" t="str">
        <f>IF(ISBLANK($I3)=TRUE,"",IF(SIGN(J3-L3)=SIGN($G3-$I3),1,0)+IF(J3=$G3,IF(L3=$I3,2,0),0))</f>
        <v/>
      </c>
      <c r="N3" s="3"/>
      <c r="O3" s="1" t="s">
        <v>1</v>
      </c>
      <c r="P3" s="7"/>
      <c r="Q3" s="11" t="str">
        <f>IF(ISBLANK($I3)=TRUE,"",IF(SIGN(N3-P3)=SIGN($G3-$I3),1,0)+IF(N3=$G3,IF(P3=$I3,2,0),0))</f>
        <v/>
      </c>
      <c r="R3" s="3"/>
      <c r="S3" s="1" t="s">
        <v>1</v>
      </c>
      <c r="T3" s="7"/>
      <c r="U3" s="11" t="str">
        <f>IF(ISBLANK($I3)=TRUE,"",IF(SIGN(R3-T3)=SIGN($G3-$I3),1,0)+IF(R3=$G3,IF(T3=$I3,2,0),0))</f>
        <v/>
      </c>
      <c r="V3" s="3"/>
      <c r="W3" s="1" t="s">
        <v>1</v>
      </c>
      <c r="X3" s="7"/>
      <c r="Y3" s="11" t="str">
        <f>IF(ISBLANK($I3)=TRUE,"",IF(SIGN(V3-X3)=SIGN($G3-$I3),1,0)+IF(V3=$G3,IF(X3=$I3,2,0),0))</f>
        <v/>
      </c>
      <c r="Z3" s="3"/>
      <c r="AA3" s="1" t="s">
        <v>1</v>
      </c>
      <c r="AB3" s="7"/>
      <c r="AC3" s="11" t="str">
        <f>IF(ISBLANK($I3)=TRUE,"",IF(SIGN(Z3-AB3)=SIGN($G3-$I3),1,0)+IF(Z3=$G3,IF(AB3=$I3,2,0),0))</f>
        <v/>
      </c>
      <c r="AD3" s="3"/>
      <c r="AE3" s="1" t="s">
        <v>1</v>
      </c>
      <c r="AF3" s="7"/>
      <c r="AG3" s="11" t="str">
        <f>IF(ISBLANK($I3)=TRUE,"",IF(SIGN(AD3-AF3)=SIGN($G3-$I3),1,0)+IF(AD3=$G3,IF(AF3=$I3,2,0),0))</f>
        <v/>
      </c>
      <c r="AH3" s="3"/>
      <c r="AI3" s="1" t="s">
        <v>1</v>
      </c>
      <c r="AJ3" s="7"/>
      <c r="AK3" s="11" t="str">
        <f>IF(ISBLANK($I3)=TRUE,"",IF(SIGN(AH3-AJ3)=SIGN($G3-$I3),1,0)+IF(AH3=$G3,IF(AJ3=$I3,2,0),0))</f>
        <v/>
      </c>
      <c r="AL3" s="3"/>
      <c r="AM3" s="1" t="s">
        <v>1</v>
      </c>
      <c r="AN3" s="7"/>
      <c r="AO3" s="11" t="str">
        <f>IF(ISBLANK($I3)=TRUE,"",IF(SIGN(AL3-AN3)=SIGN($G3-$I3),1,0)+IF(AL3=$G3,IF(AN3=$I3,2,0),0))</f>
        <v/>
      </c>
      <c r="AP3" s="3"/>
      <c r="AQ3" s="1" t="s">
        <v>1</v>
      </c>
      <c r="AR3" s="7"/>
      <c r="AS3" s="11" t="str">
        <f>IF(ISBLANK($I3)=TRUE,"",IF(SIGN(AP3-AR3)=SIGN($G3-$I3),1,0)+IF(AP3=$G3,IF(AR3=$I3,2,0),0))</f>
        <v/>
      </c>
      <c r="AT3" s="3"/>
      <c r="AU3" s="1" t="s">
        <v>1</v>
      </c>
      <c r="AV3" s="7"/>
      <c r="AW3" s="11" t="str">
        <f>IF(ISBLANK($I3)=TRUE,"",IF(SIGN(AT3-AV3)=SIGN($G3-$I3),1,0)+IF(AT3=$G3,IF(AV3=$I3,2,0),0))</f>
        <v/>
      </c>
      <c r="AX3" s="3"/>
      <c r="AY3" s="1" t="s">
        <v>1</v>
      </c>
      <c r="AZ3" s="7"/>
      <c r="BA3" s="11" t="str">
        <f>IF(ISBLANK($I3)=TRUE,"",IF(SIGN(AX3-AZ3)=SIGN($G3-$I3),1,0)+IF(AX3=$G3,IF(AZ3=$I3,2,0),0))</f>
        <v/>
      </c>
      <c r="BB3" s="3"/>
      <c r="BC3" s="1" t="s">
        <v>1</v>
      </c>
      <c r="BD3" s="7"/>
      <c r="BE3" s="11" t="str">
        <f>IF(ISBLANK($I3)=TRUE,"",IF(SIGN(BB3-BD3)=SIGN($G3-$I3),1,0)+IF(BB3=$G3,IF(BD3=$I3,2,0),0))</f>
        <v/>
      </c>
      <c r="BF3" s="3"/>
      <c r="BG3" s="1" t="s">
        <v>1</v>
      </c>
      <c r="BH3" s="7"/>
      <c r="BI3" s="11" t="str">
        <f>IF(ISBLANK($I3)=TRUE,"",IF(SIGN(BF3-BH3)=SIGN($G3-$I3),1,0)+IF(BF3=$G3,IF(BH3=$I3,2,0),0))</f>
        <v/>
      </c>
      <c r="BJ3" s="3"/>
      <c r="BK3" s="1" t="s">
        <v>1</v>
      </c>
      <c r="BL3" s="7"/>
      <c r="BM3" s="11" t="str">
        <f>IF(ISBLANK($I3)=TRUE,"",IF(SIGN(BJ3-BL3)=SIGN($G3-$I3),1,0)+IF(BJ3=$G3,IF(BL3=$I3,2,0),0))</f>
        <v/>
      </c>
      <c r="BN3" s="3"/>
      <c r="BO3" s="1" t="s">
        <v>1</v>
      </c>
      <c r="BP3" s="7"/>
      <c r="BQ3" s="11" t="str">
        <f>IF(ISBLANK($I3)=TRUE,"",IF(SIGN(BN3-BP3)=SIGN($G3-$I3),1,0)+IF(BN3=$G3,IF(BP3=$I3,2,0),0))</f>
        <v/>
      </c>
      <c r="BR3" s="3"/>
      <c r="BS3" s="1" t="s">
        <v>1</v>
      </c>
      <c r="BT3" s="7"/>
      <c r="BU3" s="11" t="str">
        <f>IF(ISBLANK($I3)=TRUE,"",IF(SIGN(BR3-BT3)=SIGN($G3-$I3),1,0)+IF(BR3=$G3,IF(BT3=$I3,2,0),0))</f>
        <v/>
      </c>
      <c r="BV3" s="3"/>
      <c r="BW3" s="1" t="s">
        <v>1</v>
      </c>
      <c r="BX3" s="7"/>
      <c r="BY3" s="11" t="str">
        <f>IF(ISBLANK($I3)=TRUE,"",IF(SIGN(BV3-BX3)=SIGN($G3-$I3),1,0)+IF(BV3=$G3,IF(BX3=$I3,2,0),0))</f>
        <v/>
      </c>
      <c r="BZ3" s="3"/>
      <c r="CA3" s="1" t="s">
        <v>1</v>
      </c>
      <c r="CB3" s="7"/>
      <c r="CC3" s="11" t="str">
        <f>IF(ISBLANK($I3)=TRUE,"",IF(SIGN(BZ3-CB3)=SIGN($G3-$I3),1,0)+IF(BZ3=$G3,IF(CB3=$I3,2,0),0))</f>
        <v/>
      </c>
      <c r="CD3" s="3"/>
      <c r="CE3" s="1" t="s">
        <v>1</v>
      </c>
      <c r="CF3" s="7"/>
      <c r="CG3" s="11" t="str">
        <f>IF(ISBLANK($I3)=TRUE,"",IF(SIGN(CD3-CF3)=SIGN($G3-$I3),1,0)+IF(CD3=$G3,IF(CF3=$I3,2,0),0))</f>
        <v/>
      </c>
      <c r="CH3" s="3"/>
      <c r="CI3" s="1" t="s">
        <v>1</v>
      </c>
      <c r="CJ3" s="7"/>
      <c r="CK3" s="11" t="str">
        <f>IF(ISBLANK($I3)=TRUE,"",IF(SIGN(CH3-CJ3)=SIGN($G3-$I3),1,0)+IF(CH3=$G3,IF(CJ3=$I3,2,0),0))</f>
        <v/>
      </c>
      <c r="CL3" s="3"/>
      <c r="CM3" s="1" t="s">
        <v>1</v>
      </c>
      <c r="CN3" s="7"/>
      <c r="CO3" s="11" t="str">
        <f>IF(ISBLANK($I3)=TRUE,"",IF(SIGN(CL3-CN3)=SIGN($G3-$I3),1,0)+IF(CL3=$G3,IF(CN3=$I3,2,0),0))</f>
        <v/>
      </c>
      <c r="CP3" s="3"/>
      <c r="CQ3" s="1" t="s">
        <v>1</v>
      </c>
      <c r="CR3" s="7"/>
      <c r="CS3" s="11" t="str">
        <f>IF(ISBLANK($I3)=TRUE,"",IF(SIGN(CP3-CR3)=SIGN($G3-$I3),1,0)+IF(CP3=$G3,IF(CR3=$I3,2,0),0))</f>
        <v/>
      </c>
      <c r="CT3" s="3"/>
      <c r="CU3" s="1" t="s">
        <v>1</v>
      </c>
      <c r="CV3" s="7"/>
      <c r="CW3" s="11" t="str">
        <f>IF(ISBLANK($I3)=TRUE,"",IF(SIGN(CT3-CV3)=SIGN($G3-$I3),1,0)+IF(CT3=$G3,IF(CV3=$I3,2,0),0))</f>
        <v/>
      </c>
      <c r="CX3" s="3"/>
      <c r="CY3" s="1" t="s">
        <v>1</v>
      </c>
      <c r="CZ3" s="7"/>
      <c r="DA3" s="11" t="str">
        <f>IF(ISBLANK($I3)=TRUE,"",IF(SIGN(CX3-CZ3)=SIGN($G3-$I3),1,0)+IF(CX3=$G3,IF(CZ3=$I3,2,0),0))</f>
        <v/>
      </c>
      <c r="DB3" s="3"/>
      <c r="DC3" s="1" t="s">
        <v>1</v>
      </c>
      <c r="DD3" s="7"/>
      <c r="DE3" s="11" t="str">
        <f>IF(ISBLANK($I3)=TRUE,"",IF(SIGN(DB3-DD3)=SIGN($G3-$I3),1,0)+IF(DB3=$G3,IF(DD3=$I3,2,0),0))</f>
        <v/>
      </c>
      <c r="DF3" s="3"/>
      <c r="DG3" s="1" t="s">
        <v>1</v>
      </c>
      <c r="DH3" s="7"/>
      <c r="DI3" s="11" t="str">
        <f>IF(ISBLANK($I3)=TRUE,"",IF(SIGN(DF3-DH3)=SIGN($G3-$I3),1,0)+IF(DF3=$G3,IF(DH3=$I3,2,0),0))</f>
        <v/>
      </c>
    </row>
    <row r="4" spans="2:113" x14ac:dyDescent="0.3">
      <c r="B4" s="12">
        <v>46202</v>
      </c>
      <c r="C4" s="30">
        <v>0.79166666666666663</v>
      </c>
      <c r="D4" s="3"/>
      <c r="E4" s="1" t="s">
        <v>1</v>
      </c>
      <c r="F4" s="5"/>
      <c r="G4" s="3"/>
      <c r="H4" s="1" t="s">
        <v>1</v>
      </c>
      <c r="I4" s="5"/>
      <c r="J4" s="3"/>
      <c r="K4" s="1" t="s">
        <v>1</v>
      </c>
      <c r="L4" s="7"/>
      <c r="M4" s="9" t="str">
        <f t="shared" ref="M4:M7" si="0">IF(ISBLANK($G4)=TRUE,"",IF(SIGN(J4-L4)=SIGN($G4-$I4),1,0)+IF(J4=$G4,IF(L4=$I4,2,0),0))</f>
        <v/>
      </c>
      <c r="N4" s="3"/>
      <c r="O4" s="1" t="s">
        <v>1</v>
      </c>
      <c r="P4" s="7"/>
      <c r="Q4" s="9" t="str">
        <f t="shared" ref="Q4:Q7" si="1">IF(ISBLANK($G4)=TRUE,"",IF(SIGN(N4-P4)=SIGN($G4-$I4),1,0)+IF(N4=$G4,IF(P4=$I4,2,0),0))</f>
        <v/>
      </c>
      <c r="R4" s="3"/>
      <c r="S4" s="1" t="s">
        <v>1</v>
      </c>
      <c r="T4" s="7"/>
      <c r="U4" s="9" t="str">
        <f t="shared" ref="U4:U7" si="2">IF(ISBLANK($G4)=TRUE,"",IF(SIGN(R4-T4)=SIGN($G4-$I4),1,0)+IF(R4=$G4,IF(T4=$I4,2,0),0))</f>
        <v/>
      </c>
      <c r="V4" s="3"/>
      <c r="W4" s="1" t="s">
        <v>1</v>
      </c>
      <c r="X4" s="7"/>
      <c r="Y4" s="9" t="str">
        <f t="shared" ref="Y4:Y7" si="3">IF(ISBLANK($G4)=TRUE,"",IF(SIGN(V4-X4)=SIGN($G4-$I4),1,0)+IF(V4=$G4,IF(X4=$I4,2,0),0))</f>
        <v/>
      </c>
      <c r="Z4" s="3"/>
      <c r="AA4" s="1" t="s">
        <v>1</v>
      </c>
      <c r="AB4" s="7"/>
      <c r="AC4" s="9" t="str">
        <f t="shared" ref="AC4:AC7" si="4">IF(ISBLANK($G4)=TRUE,"",IF(SIGN(Z4-AB4)=SIGN($G4-$I4),1,0)+IF(Z4=$G4,IF(AB4=$I4,2,0),0))</f>
        <v/>
      </c>
      <c r="AD4" s="3"/>
      <c r="AE4" s="1" t="s">
        <v>1</v>
      </c>
      <c r="AF4" s="7"/>
      <c r="AG4" s="9" t="str">
        <f t="shared" ref="AG4:AG7" si="5">IF(ISBLANK($G4)=TRUE,"",IF(SIGN(AD4-AF4)=SIGN($G4-$I4),1,0)+IF(AD4=$G4,IF(AF4=$I4,2,0),0))</f>
        <v/>
      </c>
      <c r="AH4" s="3"/>
      <c r="AI4" s="1" t="s">
        <v>1</v>
      </c>
      <c r="AJ4" s="7"/>
      <c r="AK4" s="9" t="str">
        <f t="shared" ref="AK4:AK7" si="6">IF(ISBLANK($G4)=TRUE,"",IF(SIGN(AH4-AJ4)=SIGN($G4-$I4),1,0)+IF(AH4=$G4,IF(AJ4=$I4,2,0),0))</f>
        <v/>
      </c>
      <c r="AL4" s="3"/>
      <c r="AM4" s="1" t="s">
        <v>1</v>
      </c>
      <c r="AN4" s="7"/>
      <c r="AO4" s="9" t="str">
        <f t="shared" ref="AO4:AO7" si="7">IF(ISBLANK($G4)=TRUE,"",IF(SIGN(AL4-AN4)=SIGN($G4-$I4),1,0)+IF(AL4=$G4,IF(AN4=$I4,2,0),0))</f>
        <v/>
      </c>
      <c r="AP4" s="3"/>
      <c r="AQ4" s="1" t="s">
        <v>1</v>
      </c>
      <c r="AR4" s="7"/>
      <c r="AS4" s="9" t="str">
        <f t="shared" ref="AS4:AS7" si="8">IF(ISBLANK($G4)=TRUE,"",IF(SIGN(AP4-AR4)=SIGN($G4-$I4),1,0)+IF(AP4=$G4,IF(AR4=$I4,2,0),0))</f>
        <v/>
      </c>
      <c r="AT4" s="3"/>
      <c r="AU4" s="1" t="s">
        <v>1</v>
      </c>
      <c r="AV4" s="7"/>
      <c r="AW4" s="9" t="str">
        <f t="shared" ref="AW4:AW7" si="9">IF(ISBLANK($G4)=TRUE,"",IF(SIGN(AT4-AV4)=SIGN($G4-$I4),1,0)+IF(AT4=$G4,IF(AV4=$I4,2,0),0))</f>
        <v/>
      </c>
      <c r="AX4" s="3"/>
      <c r="AY4" s="1" t="s">
        <v>1</v>
      </c>
      <c r="AZ4" s="7"/>
      <c r="BA4" s="9" t="str">
        <f t="shared" ref="BA4:BA7" si="10">IF(ISBLANK($G4)=TRUE,"",IF(SIGN(AX4-AZ4)=SIGN($G4-$I4),1,0)+IF(AX4=$G4,IF(AZ4=$I4,2,0),0))</f>
        <v/>
      </c>
      <c r="BB4" s="3"/>
      <c r="BC4" s="1" t="s">
        <v>1</v>
      </c>
      <c r="BD4" s="7"/>
      <c r="BE4" s="9" t="str">
        <f t="shared" ref="BE4:BE7" si="11">IF(ISBLANK($G4)=TRUE,"",IF(SIGN(BB4-BD4)=SIGN($G4-$I4),1,0)+IF(BB4=$G4,IF(BD4=$I4,2,0),0))</f>
        <v/>
      </c>
      <c r="BF4" s="3"/>
      <c r="BG4" s="1" t="s">
        <v>1</v>
      </c>
      <c r="BH4" s="7"/>
      <c r="BI4" s="9" t="str">
        <f t="shared" ref="BI4:BI7" si="12">IF(ISBLANK($G4)=TRUE,"",IF(SIGN(BF4-BH4)=SIGN($G4-$I4),1,0)+IF(BF4=$G4,IF(BH4=$I4,2,0),0))</f>
        <v/>
      </c>
      <c r="BJ4" s="3"/>
      <c r="BK4" s="1" t="s">
        <v>1</v>
      </c>
      <c r="BL4" s="7"/>
      <c r="BM4" s="9" t="str">
        <f t="shared" ref="BM4:BM7" si="13">IF(ISBLANK($G4)=TRUE,"",IF(SIGN(BJ4-BL4)=SIGN($G4-$I4),1,0)+IF(BJ4=$G4,IF(BL4=$I4,2,0),0))</f>
        <v/>
      </c>
      <c r="BN4" s="3"/>
      <c r="BO4" s="1" t="s">
        <v>1</v>
      </c>
      <c r="BP4" s="7"/>
      <c r="BQ4" s="9" t="str">
        <f t="shared" ref="BQ4:BQ7" si="14">IF(ISBLANK($G4)=TRUE,"",IF(SIGN(BN4-BP4)=SIGN($G4-$I4),1,0)+IF(BN4=$G4,IF(BP4=$I4,2,0),0))</f>
        <v/>
      </c>
      <c r="BR4" s="3"/>
      <c r="BS4" s="1" t="s">
        <v>1</v>
      </c>
      <c r="BT4" s="7"/>
      <c r="BU4" s="9" t="str">
        <f t="shared" ref="BU4:BU7" si="15">IF(ISBLANK($G4)=TRUE,"",IF(SIGN(BR4-BT4)=SIGN($G4-$I4),1,0)+IF(BR4=$G4,IF(BT4=$I4,2,0),0))</f>
        <v/>
      </c>
      <c r="BV4" s="3"/>
      <c r="BW4" s="1" t="s">
        <v>1</v>
      </c>
      <c r="BX4" s="7"/>
      <c r="BY4" s="9" t="str">
        <f t="shared" ref="BY4:BY7" si="16">IF(ISBLANK($G4)=TRUE,"",IF(SIGN(BV4-BX4)=SIGN($G4-$I4),1,0)+IF(BV4=$G4,IF(BX4=$I4,2,0),0))</f>
        <v/>
      </c>
      <c r="BZ4" s="3"/>
      <c r="CA4" s="1" t="s">
        <v>1</v>
      </c>
      <c r="CB4" s="7"/>
      <c r="CC4" s="9" t="str">
        <f t="shared" ref="CC4:CC7" si="17">IF(ISBLANK($G4)=TRUE,"",IF(SIGN(BZ4-CB4)=SIGN($G4-$I4),1,0)+IF(BZ4=$G4,IF(CB4=$I4,2,0),0))</f>
        <v/>
      </c>
      <c r="CD4" s="3"/>
      <c r="CE4" s="1" t="s">
        <v>1</v>
      </c>
      <c r="CF4" s="7"/>
      <c r="CG4" s="9" t="str">
        <f t="shared" ref="CG4:CG7" si="18">IF(ISBLANK($G4)=TRUE,"",IF(SIGN(CD4-CF4)=SIGN($G4-$I4),1,0)+IF(CD4=$G4,IF(CF4=$I4,2,0),0))</f>
        <v/>
      </c>
      <c r="CH4" s="3"/>
      <c r="CI4" s="1" t="s">
        <v>1</v>
      </c>
      <c r="CJ4" s="7"/>
      <c r="CK4" s="9" t="str">
        <f t="shared" ref="CK4:CK7" si="19">IF(ISBLANK($G4)=TRUE,"",IF(SIGN(CH4-CJ4)=SIGN($G4-$I4),1,0)+IF(CH4=$G4,IF(CJ4=$I4,2,0),0))</f>
        <v/>
      </c>
      <c r="CL4" s="3"/>
      <c r="CM4" s="1" t="s">
        <v>1</v>
      </c>
      <c r="CN4" s="7"/>
      <c r="CO4" s="9" t="str">
        <f t="shared" ref="CO4:CO12" si="20">IF(ISBLANK($G4)=TRUE,"",IF(SIGN(CL4-CN4)=SIGN($G4-$I4),1,0)+IF(CL4=$G4,IF(CN4=$I4,2,0),0))</f>
        <v/>
      </c>
      <c r="CP4" s="3"/>
      <c r="CQ4" s="1" t="s">
        <v>1</v>
      </c>
      <c r="CR4" s="7"/>
      <c r="CS4" s="9" t="str">
        <f t="shared" ref="CS4:CS12" si="21">IF(ISBLANK($G4)=TRUE,"",IF(SIGN(CP4-CR4)=SIGN($G4-$I4),1,0)+IF(CP4=$G4,IF(CR4=$I4,2,0),0))</f>
        <v/>
      </c>
      <c r="CT4" s="3"/>
      <c r="CU4" s="1" t="s">
        <v>1</v>
      </c>
      <c r="CV4" s="7"/>
      <c r="CW4" s="9" t="str">
        <f t="shared" ref="CW4:CW12" si="22">IF(ISBLANK($G4)=TRUE,"",IF(SIGN(CT4-CV4)=SIGN($G4-$I4),1,0)+IF(CT4=$G4,IF(CV4=$I4,2,0),0))</f>
        <v/>
      </c>
      <c r="CX4" s="3"/>
      <c r="CY4" s="1" t="s">
        <v>1</v>
      </c>
      <c r="CZ4" s="7"/>
      <c r="DA4" s="9" t="str">
        <f t="shared" ref="DA4:DA12" si="23">IF(ISBLANK($G4)=TRUE,"",IF(SIGN(CX4-CZ4)=SIGN($G4-$I4),1,0)+IF(CX4=$G4,IF(CZ4=$I4,2,0),0))</f>
        <v/>
      </c>
      <c r="DB4" s="3"/>
      <c r="DC4" s="1" t="s">
        <v>1</v>
      </c>
      <c r="DD4" s="7"/>
      <c r="DE4" s="9" t="str">
        <f t="shared" ref="DE4:DE12" si="24">IF(ISBLANK($G4)=TRUE,"",IF(SIGN(DB4-DD4)=SIGN($G4-$I4),1,0)+IF(DB4=$G4,IF(DD4=$I4,2,0),0))</f>
        <v/>
      </c>
      <c r="DF4" s="3"/>
      <c r="DG4" s="1" t="s">
        <v>1</v>
      </c>
      <c r="DH4" s="7"/>
      <c r="DI4" s="9" t="str">
        <f t="shared" ref="DI4:DI12" si="25">IF(ISBLANK($G4)=TRUE,"",IF(SIGN(DF4-DH4)=SIGN($G4-$I4),1,0)+IF(DF4=$G4,IF(DH4=$I4,2,0),0))</f>
        <v/>
      </c>
    </row>
    <row r="5" spans="2:113" x14ac:dyDescent="0.3">
      <c r="B5" s="12">
        <v>46202</v>
      </c>
      <c r="C5" s="30">
        <v>0.9375</v>
      </c>
      <c r="D5" s="3"/>
      <c r="E5" s="1" t="s">
        <v>1</v>
      </c>
      <c r="F5" s="5"/>
      <c r="G5" s="3"/>
      <c r="H5" s="1" t="s">
        <v>1</v>
      </c>
      <c r="I5" s="5"/>
      <c r="J5" s="3"/>
      <c r="K5" s="1" t="s">
        <v>1</v>
      </c>
      <c r="L5" s="7"/>
      <c r="M5" s="9" t="str">
        <f t="shared" si="0"/>
        <v/>
      </c>
      <c r="N5" s="3"/>
      <c r="O5" s="1" t="s">
        <v>1</v>
      </c>
      <c r="P5" s="7"/>
      <c r="Q5" s="9" t="str">
        <f t="shared" si="1"/>
        <v/>
      </c>
      <c r="R5" s="3"/>
      <c r="S5" s="1" t="s">
        <v>1</v>
      </c>
      <c r="T5" s="7"/>
      <c r="U5" s="9" t="str">
        <f t="shared" si="2"/>
        <v/>
      </c>
      <c r="V5" s="3"/>
      <c r="W5" s="1" t="s">
        <v>1</v>
      </c>
      <c r="X5" s="7"/>
      <c r="Y5" s="9" t="str">
        <f t="shared" si="3"/>
        <v/>
      </c>
      <c r="Z5" s="3"/>
      <c r="AA5" s="1" t="s">
        <v>1</v>
      </c>
      <c r="AB5" s="7"/>
      <c r="AC5" s="9" t="str">
        <f t="shared" si="4"/>
        <v/>
      </c>
      <c r="AD5" s="3"/>
      <c r="AE5" s="1" t="s">
        <v>1</v>
      </c>
      <c r="AF5" s="7"/>
      <c r="AG5" s="9" t="str">
        <f t="shared" si="5"/>
        <v/>
      </c>
      <c r="AH5" s="3"/>
      <c r="AI5" s="1" t="s">
        <v>1</v>
      </c>
      <c r="AJ5" s="7"/>
      <c r="AK5" s="9" t="str">
        <f t="shared" si="6"/>
        <v/>
      </c>
      <c r="AL5" s="3"/>
      <c r="AM5" s="1" t="s">
        <v>1</v>
      </c>
      <c r="AN5" s="7"/>
      <c r="AO5" s="9" t="str">
        <f t="shared" si="7"/>
        <v/>
      </c>
      <c r="AP5" s="3"/>
      <c r="AQ5" s="1" t="s">
        <v>1</v>
      </c>
      <c r="AR5" s="7"/>
      <c r="AS5" s="9" t="str">
        <f t="shared" si="8"/>
        <v/>
      </c>
      <c r="AT5" s="3"/>
      <c r="AU5" s="1" t="s">
        <v>1</v>
      </c>
      <c r="AV5" s="7"/>
      <c r="AW5" s="9" t="str">
        <f t="shared" si="9"/>
        <v/>
      </c>
      <c r="AX5" s="3"/>
      <c r="AY5" s="1" t="s">
        <v>1</v>
      </c>
      <c r="AZ5" s="7"/>
      <c r="BA5" s="9" t="str">
        <f t="shared" si="10"/>
        <v/>
      </c>
      <c r="BB5" s="3"/>
      <c r="BC5" s="1" t="s">
        <v>1</v>
      </c>
      <c r="BD5" s="7"/>
      <c r="BE5" s="9" t="str">
        <f t="shared" si="11"/>
        <v/>
      </c>
      <c r="BF5" s="3"/>
      <c r="BG5" s="1" t="s">
        <v>1</v>
      </c>
      <c r="BH5" s="7"/>
      <c r="BI5" s="9" t="str">
        <f t="shared" si="12"/>
        <v/>
      </c>
      <c r="BJ5" s="3"/>
      <c r="BK5" s="1" t="s">
        <v>1</v>
      </c>
      <c r="BL5" s="7"/>
      <c r="BM5" s="9" t="str">
        <f t="shared" si="13"/>
        <v/>
      </c>
      <c r="BN5" s="3"/>
      <c r="BO5" s="1" t="s">
        <v>1</v>
      </c>
      <c r="BP5" s="7"/>
      <c r="BQ5" s="9" t="str">
        <f t="shared" si="14"/>
        <v/>
      </c>
      <c r="BR5" s="3"/>
      <c r="BS5" s="1" t="s">
        <v>1</v>
      </c>
      <c r="BT5" s="7"/>
      <c r="BU5" s="9" t="str">
        <f t="shared" si="15"/>
        <v/>
      </c>
      <c r="BV5" s="3"/>
      <c r="BW5" s="1" t="s">
        <v>1</v>
      </c>
      <c r="BX5" s="7"/>
      <c r="BY5" s="9" t="str">
        <f t="shared" si="16"/>
        <v/>
      </c>
      <c r="BZ5" s="3"/>
      <c r="CA5" s="1" t="s">
        <v>1</v>
      </c>
      <c r="CB5" s="7"/>
      <c r="CC5" s="9" t="str">
        <f t="shared" si="17"/>
        <v/>
      </c>
      <c r="CD5" s="3"/>
      <c r="CE5" s="1" t="s">
        <v>1</v>
      </c>
      <c r="CF5" s="7"/>
      <c r="CG5" s="9" t="str">
        <f t="shared" si="18"/>
        <v/>
      </c>
      <c r="CH5" s="3"/>
      <c r="CI5" s="1" t="s">
        <v>1</v>
      </c>
      <c r="CJ5" s="7"/>
      <c r="CK5" s="9" t="str">
        <f t="shared" si="19"/>
        <v/>
      </c>
      <c r="CL5" s="3"/>
      <c r="CM5" s="1" t="s">
        <v>1</v>
      </c>
      <c r="CN5" s="7"/>
      <c r="CO5" s="9" t="str">
        <f t="shared" si="20"/>
        <v/>
      </c>
      <c r="CP5" s="3"/>
      <c r="CQ5" s="1" t="s">
        <v>1</v>
      </c>
      <c r="CR5" s="7"/>
      <c r="CS5" s="9" t="str">
        <f t="shared" si="21"/>
        <v/>
      </c>
      <c r="CT5" s="3"/>
      <c r="CU5" s="1" t="s">
        <v>1</v>
      </c>
      <c r="CV5" s="7"/>
      <c r="CW5" s="9" t="str">
        <f t="shared" si="22"/>
        <v/>
      </c>
      <c r="CX5" s="3"/>
      <c r="CY5" s="1" t="s">
        <v>1</v>
      </c>
      <c r="CZ5" s="7"/>
      <c r="DA5" s="9" t="str">
        <f t="shared" si="23"/>
        <v/>
      </c>
      <c r="DB5" s="3"/>
      <c r="DC5" s="1" t="s">
        <v>1</v>
      </c>
      <c r="DD5" s="7"/>
      <c r="DE5" s="9" t="str">
        <f t="shared" si="24"/>
        <v/>
      </c>
      <c r="DF5" s="3"/>
      <c r="DG5" s="1" t="s">
        <v>1</v>
      </c>
      <c r="DH5" s="7"/>
      <c r="DI5" s="9" t="str">
        <f t="shared" si="25"/>
        <v/>
      </c>
    </row>
    <row r="6" spans="2:113" x14ac:dyDescent="0.3">
      <c r="B6" s="12">
        <v>46203</v>
      </c>
      <c r="C6" s="24" t="s">
        <v>66</v>
      </c>
      <c r="D6" s="3"/>
      <c r="E6" s="1" t="s">
        <v>1</v>
      </c>
      <c r="F6" s="5"/>
      <c r="G6" s="3"/>
      <c r="H6" s="1" t="s">
        <v>1</v>
      </c>
      <c r="I6" s="5"/>
      <c r="J6" s="3"/>
      <c r="K6" s="1" t="s">
        <v>1</v>
      </c>
      <c r="L6" s="7"/>
      <c r="M6" s="9" t="str">
        <f t="shared" si="0"/>
        <v/>
      </c>
      <c r="N6" s="3"/>
      <c r="O6" s="1" t="s">
        <v>1</v>
      </c>
      <c r="P6" s="7"/>
      <c r="Q6" s="9" t="str">
        <f t="shared" si="1"/>
        <v/>
      </c>
      <c r="R6" s="3"/>
      <c r="S6" s="1" t="s">
        <v>1</v>
      </c>
      <c r="T6" s="7"/>
      <c r="U6" s="9" t="str">
        <f t="shared" si="2"/>
        <v/>
      </c>
      <c r="V6" s="3"/>
      <c r="W6" s="1" t="s">
        <v>1</v>
      </c>
      <c r="X6" s="7"/>
      <c r="Y6" s="9" t="str">
        <f t="shared" si="3"/>
        <v/>
      </c>
      <c r="Z6" s="3"/>
      <c r="AA6" s="1" t="s">
        <v>1</v>
      </c>
      <c r="AB6" s="7"/>
      <c r="AC6" s="9" t="str">
        <f t="shared" si="4"/>
        <v/>
      </c>
      <c r="AD6" s="3"/>
      <c r="AE6" s="1" t="s">
        <v>1</v>
      </c>
      <c r="AF6" s="7"/>
      <c r="AG6" s="9" t="str">
        <f t="shared" si="5"/>
        <v/>
      </c>
      <c r="AH6" s="3"/>
      <c r="AI6" s="1" t="s">
        <v>1</v>
      </c>
      <c r="AJ6" s="7"/>
      <c r="AK6" s="9" t="str">
        <f t="shared" si="6"/>
        <v/>
      </c>
      <c r="AL6" s="3"/>
      <c r="AM6" s="1" t="s">
        <v>1</v>
      </c>
      <c r="AN6" s="7"/>
      <c r="AO6" s="9" t="str">
        <f t="shared" si="7"/>
        <v/>
      </c>
      <c r="AP6" s="3"/>
      <c r="AQ6" s="1" t="s">
        <v>1</v>
      </c>
      <c r="AR6" s="7"/>
      <c r="AS6" s="9" t="str">
        <f t="shared" si="8"/>
        <v/>
      </c>
      <c r="AT6" s="3"/>
      <c r="AU6" s="1" t="s">
        <v>1</v>
      </c>
      <c r="AV6" s="7"/>
      <c r="AW6" s="9" t="str">
        <f t="shared" si="9"/>
        <v/>
      </c>
      <c r="AX6" s="3"/>
      <c r="AY6" s="1" t="s">
        <v>1</v>
      </c>
      <c r="AZ6" s="7"/>
      <c r="BA6" s="9" t="str">
        <f t="shared" si="10"/>
        <v/>
      </c>
      <c r="BB6" s="3"/>
      <c r="BC6" s="1" t="s">
        <v>1</v>
      </c>
      <c r="BD6" s="7"/>
      <c r="BE6" s="9" t="str">
        <f t="shared" si="11"/>
        <v/>
      </c>
      <c r="BF6" s="3"/>
      <c r="BG6" s="1" t="s">
        <v>1</v>
      </c>
      <c r="BH6" s="7"/>
      <c r="BI6" s="9" t="str">
        <f t="shared" si="12"/>
        <v/>
      </c>
      <c r="BJ6" s="3"/>
      <c r="BK6" s="1" t="s">
        <v>1</v>
      </c>
      <c r="BL6" s="7"/>
      <c r="BM6" s="9" t="str">
        <f t="shared" si="13"/>
        <v/>
      </c>
      <c r="BN6" s="3"/>
      <c r="BO6" s="1" t="s">
        <v>1</v>
      </c>
      <c r="BP6" s="7"/>
      <c r="BQ6" s="9" t="str">
        <f t="shared" si="14"/>
        <v/>
      </c>
      <c r="BR6" s="3"/>
      <c r="BS6" s="1" t="s">
        <v>1</v>
      </c>
      <c r="BT6" s="7"/>
      <c r="BU6" s="9" t="str">
        <f t="shared" si="15"/>
        <v/>
      </c>
      <c r="BV6" s="3"/>
      <c r="BW6" s="1" t="s">
        <v>1</v>
      </c>
      <c r="BX6" s="7"/>
      <c r="BY6" s="9" t="str">
        <f t="shared" si="16"/>
        <v/>
      </c>
      <c r="BZ6" s="3"/>
      <c r="CA6" s="1" t="s">
        <v>1</v>
      </c>
      <c r="CB6" s="7"/>
      <c r="CC6" s="9" t="str">
        <f t="shared" si="17"/>
        <v/>
      </c>
      <c r="CD6" s="3"/>
      <c r="CE6" s="1" t="s">
        <v>1</v>
      </c>
      <c r="CF6" s="7"/>
      <c r="CG6" s="9" t="str">
        <f t="shared" si="18"/>
        <v/>
      </c>
      <c r="CH6" s="3"/>
      <c r="CI6" s="1" t="s">
        <v>1</v>
      </c>
      <c r="CJ6" s="7"/>
      <c r="CK6" s="9" t="str">
        <f t="shared" si="19"/>
        <v/>
      </c>
      <c r="CL6" s="3"/>
      <c r="CM6" s="1" t="s">
        <v>1</v>
      </c>
      <c r="CN6" s="7"/>
      <c r="CO6" s="9" t="str">
        <f t="shared" si="20"/>
        <v/>
      </c>
      <c r="CP6" s="3"/>
      <c r="CQ6" s="1" t="s">
        <v>1</v>
      </c>
      <c r="CR6" s="7"/>
      <c r="CS6" s="9" t="str">
        <f t="shared" si="21"/>
        <v/>
      </c>
      <c r="CT6" s="3"/>
      <c r="CU6" s="1" t="s">
        <v>1</v>
      </c>
      <c r="CV6" s="7"/>
      <c r="CW6" s="9" t="str">
        <f t="shared" si="22"/>
        <v/>
      </c>
      <c r="CX6" s="3"/>
      <c r="CY6" s="1" t="s">
        <v>1</v>
      </c>
      <c r="CZ6" s="7"/>
      <c r="DA6" s="9" t="str">
        <f t="shared" si="23"/>
        <v/>
      </c>
      <c r="DB6" s="3"/>
      <c r="DC6" s="1" t="s">
        <v>1</v>
      </c>
      <c r="DD6" s="7"/>
      <c r="DE6" s="9" t="str">
        <f t="shared" si="24"/>
        <v/>
      </c>
      <c r="DF6" s="3"/>
      <c r="DG6" s="1" t="s">
        <v>1</v>
      </c>
      <c r="DH6" s="7"/>
      <c r="DI6" s="9" t="str">
        <f t="shared" si="25"/>
        <v/>
      </c>
    </row>
    <row r="7" spans="2:113" x14ac:dyDescent="0.3">
      <c r="B7" s="12">
        <v>46203</v>
      </c>
      <c r="C7" s="30">
        <v>0.79166666666666663</v>
      </c>
      <c r="D7" s="3"/>
      <c r="E7" s="1" t="s">
        <v>1</v>
      </c>
      <c r="F7" s="5"/>
      <c r="G7" s="3"/>
      <c r="H7" s="1" t="s">
        <v>1</v>
      </c>
      <c r="I7" s="5"/>
      <c r="J7" s="3"/>
      <c r="K7" s="1" t="s">
        <v>1</v>
      </c>
      <c r="L7" s="7"/>
      <c r="M7" s="9" t="str">
        <f t="shared" si="0"/>
        <v/>
      </c>
      <c r="N7" s="3"/>
      <c r="O7" s="1" t="s">
        <v>1</v>
      </c>
      <c r="P7" s="7"/>
      <c r="Q7" s="9" t="str">
        <f t="shared" si="1"/>
        <v/>
      </c>
      <c r="R7" s="3"/>
      <c r="S7" s="1" t="s">
        <v>1</v>
      </c>
      <c r="T7" s="7"/>
      <c r="U7" s="9" t="str">
        <f t="shared" si="2"/>
        <v/>
      </c>
      <c r="V7" s="3"/>
      <c r="W7" s="1" t="s">
        <v>1</v>
      </c>
      <c r="X7" s="7"/>
      <c r="Y7" s="9" t="str">
        <f t="shared" si="3"/>
        <v/>
      </c>
      <c r="Z7" s="3"/>
      <c r="AA7" s="1" t="s">
        <v>1</v>
      </c>
      <c r="AB7" s="7"/>
      <c r="AC7" s="9" t="str">
        <f t="shared" si="4"/>
        <v/>
      </c>
      <c r="AD7" s="3"/>
      <c r="AE7" s="1" t="s">
        <v>1</v>
      </c>
      <c r="AF7" s="7"/>
      <c r="AG7" s="9" t="str">
        <f t="shared" si="5"/>
        <v/>
      </c>
      <c r="AH7" s="3"/>
      <c r="AI7" s="1" t="s">
        <v>1</v>
      </c>
      <c r="AJ7" s="7"/>
      <c r="AK7" s="9" t="str">
        <f t="shared" si="6"/>
        <v/>
      </c>
      <c r="AL7" s="3"/>
      <c r="AM7" s="1" t="s">
        <v>1</v>
      </c>
      <c r="AN7" s="7"/>
      <c r="AO7" s="9" t="str">
        <f t="shared" si="7"/>
        <v/>
      </c>
      <c r="AP7" s="3"/>
      <c r="AQ7" s="1" t="s">
        <v>1</v>
      </c>
      <c r="AR7" s="7"/>
      <c r="AS7" s="9" t="str">
        <f t="shared" si="8"/>
        <v/>
      </c>
      <c r="AT7" s="3"/>
      <c r="AU7" s="1" t="s">
        <v>1</v>
      </c>
      <c r="AV7" s="7"/>
      <c r="AW7" s="9" t="str">
        <f t="shared" si="9"/>
        <v/>
      </c>
      <c r="AX7" s="3"/>
      <c r="AY7" s="1" t="s">
        <v>1</v>
      </c>
      <c r="AZ7" s="7"/>
      <c r="BA7" s="9" t="str">
        <f t="shared" si="10"/>
        <v/>
      </c>
      <c r="BB7" s="3"/>
      <c r="BC7" s="1" t="s">
        <v>1</v>
      </c>
      <c r="BD7" s="7"/>
      <c r="BE7" s="9" t="str">
        <f t="shared" si="11"/>
        <v/>
      </c>
      <c r="BF7" s="3"/>
      <c r="BG7" s="1" t="s">
        <v>1</v>
      </c>
      <c r="BH7" s="7"/>
      <c r="BI7" s="9" t="str">
        <f t="shared" si="12"/>
        <v/>
      </c>
      <c r="BJ7" s="3"/>
      <c r="BK7" s="1" t="s">
        <v>1</v>
      </c>
      <c r="BL7" s="7"/>
      <c r="BM7" s="9" t="str">
        <f t="shared" si="13"/>
        <v/>
      </c>
      <c r="BN7" s="3"/>
      <c r="BO7" s="1" t="s">
        <v>1</v>
      </c>
      <c r="BP7" s="7"/>
      <c r="BQ7" s="9" t="str">
        <f t="shared" si="14"/>
        <v/>
      </c>
      <c r="BR7" s="3"/>
      <c r="BS7" s="1" t="s">
        <v>1</v>
      </c>
      <c r="BT7" s="7"/>
      <c r="BU7" s="9" t="str">
        <f t="shared" si="15"/>
        <v/>
      </c>
      <c r="BV7" s="3"/>
      <c r="BW7" s="1" t="s">
        <v>1</v>
      </c>
      <c r="BX7" s="7"/>
      <c r="BY7" s="9" t="str">
        <f t="shared" si="16"/>
        <v/>
      </c>
      <c r="BZ7" s="3"/>
      <c r="CA7" s="1" t="s">
        <v>1</v>
      </c>
      <c r="CB7" s="7"/>
      <c r="CC7" s="9" t="str">
        <f t="shared" si="17"/>
        <v/>
      </c>
      <c r="CD7" s="3"/>
      <c r="CE7" s="1" t="s">
        <v>1</v>
      </c>
      <c r="CF7" s="7"/>
      <c r="CG7" s="9" t="str">
        <f t="shared" si="18"/>
        <v/>
      </c>
      <c r="CH7" s="3"/>
      <c r="CI7" s="1" t="s">
        <v>1</v>
      </c>
      <c r="CJ7" s="7"/>
      <c r="CK7" s="9" t="str">
        <f t="shared" si="19"/>
        <v/>
      </c>
      <c r="CL7" s="3"/>
      <c r="CM7" s="1" t="s">
        <v>1</v>
      </c>
      <c r="CN7" s="7"/>
      <c r="CO7" s="9" t="str">
        <f t="shared" si="20"/>
        <v/>
      </c>
      <c r="CP7" s="3"/>
      <c r="CQ7" s="1" t="s">
        <v>1</v>
      </c>
      <c r="CR7" s="7"/>
      <c r="CS7" s="9" t="str">
        <f t="shared" si="21"/>
        <v/>
      </c>
      <c r="CT7" s="3"/>
      <c r="CU7" s="1" t="s">
        <v>1</v>
      </c>
      <c r="CV7" s="7"/>
      <c r="CW7" s="9" t="str">
        <f t="shared" si="22"/>
        <v/>
      </c>
      <c r="CX7" s="3"/>
      <c r="CY7" s="1" t="s">
        <v>1</v>
      </c>
      <c r="CZ7" s="7"/>
      <c r="DA7" s="9" t="str">
        <f t="shared" si="23"/>
        <v/>
      </c>
      <c r="DB7" s="3"/>
      <c r="DC7" s="1" t="s">
        <v>1</v>
      </c>
      <c r="DD7" s="7"/>
      <c r="DE7" s="9" t="str">
        <f t="shared" si="24"/>
        <v/>
      </c>
      <c r="DF7" s="3"/>
      <c r="DG7" s="1" t="s">
        <v>1</v>
      </c>
      <c r="DH7" s="7"/>
      <c r="DI7" s="9" t="str">
        <f t="shared" si="25"/>
        <v/>
      </c>
    </row>
    <row r="8" spans="2:113" x14ac:dyDescent="0.3">
      <c r="B8" s="12">
        <v>46203</v>
      </c>
      <c r="C8" s="30">
        <v>0.95833333333333337</v>
      </c>
      <c r="D8" s="3"/>
      <c r="E8" s="1" t="s">
        <v>1</v>
      </c>
      <c r="F8" s="5"/>
      <c r="G8" s="3"/>
      <c r="H8" s="1" t="s">
        <v>1</v>
      </c>
      <c r="I8" s="5"/>
      <c r="J8" s="3"/>
      <c r="K8" s="1" t="s">
        <v>1</v>
      </c>
      <c r="L8" s="5"/>
      <c r="M8" s="9" t="str">
        <f t="shared" ref="M8:M11" si="26">IF(ISBLANK($G8)=TRUE,"",IF(SIGN(J8-L8)=SIGN($G8-$I8),1,0)+IF(J8=$G8,IF(L8=$I8,2,0),0))</f>
        <v/>
      </c>
      <c r="N8" s="3"/>
      <c r="O8" s="1" t="s">
        <v>1</v>
      </c>
      <c r="P8" s="5"/>
      <c r="Q8" s="9" t="str">
        <f t="shared" ref="Q8:Q12" si="27">IF(ISBLANK($G8)=TRUE,"",IF(SIGN(N8-P8)=SIGN($G8-$I8),1,0)+IF(N8=$G8,IF(P8=$I8,2,0),0))</f>
        <v/>
      </c>
      <c r="R8" s="3"/>
      <c r="S8" s="1" t="s">
        <v>1</v>
      </c>
      <c r="T8" s="5"/>
      <c r="U8" s="9" t="str">
        <f t="shared" ref="U8:U12" si="28">IF(ISBLANK($G8)=TRUE,"",IF(SIGN(R8-T8)=SIGN($G8-$I8),1,0)+IF(R8=$G8,IF(T8=$I8,2,0),0))</f>
        <v/>
      </c>
      <c r="V8" s="3"/>
      <c r="W8" s="1" t="s">
        <v>1</v>
      </c>
      <c r="X8" s="5"/>
      <c r="Y8" s="9" t="str">
        <f t="shared" ref="Y8:Y12" si="29">IF(ISBLANK($G8)=TRUE,"",IF(SIGN(V8-X8)=SIGN($G8-$I8),1,0)+IF(V8=$G8,IF(X8=$I8,2,0),0))</f>
        <v/>
      </c>
      <c r="Z8" s="3"/>
      <c r="AA8" s="1" t="s">
        <v>1</v>
      </c>
      <c r="AB8" s="5"/>
      <c r="AC8" s="9" t="str">
        <f t="shared" ref="AC8:AC12" si="30">IF(ISBLANK($G8)=TRUE,"",IF(SIGN(Z8-AB8)=SIGN($G8-$I8),1,0)+IF(Z8=$G8,IF(AB8=$I8,2,0),0))</f>
        <v/>
      </c>
      <c r="AD8" s="3"/>
      <c r="AE8" s="1" t="s">
        <v>1</v>
      </c>
      <c r="AF8" s="5"/>
      <c r="AG8" s="9" t="str">
        <f t="shared" ref="AG8:AG12" si="31">IF(ISBLANK($G8)=TRUE,"",IF(SIGN(AD8-AF8)=SIGN($G8-$I8),1,0)+IF(AD8=$G8,IF(AF8=$I8,2,0),0))</f>
        <v/>
      </c>
      <c r="AH8" s="3"/>
      <c r="AI8" s="1" t="s">
        <v>1</v>
      </c>
      <c r="AJ8" s="5"/>
      <c r="AK8" s="9" t="str">
        <f t="shared" ref="AK8:AK12" si="32">IF(ISBLANK($G8)=TRUE,"",IF(SIGN(AH8-AJ8)=SIGN($G8-$I8),1,0)+IF(AH8=$G8,IF(AJ8=$I8,2,0),0))</f>
        <v/>
      </c>
      <c r="AL8" s="3"/>
      <c r="AM8" s="1" t="s">
        <v>1</v>
      </c>
      <c r="AN8" s="5"/>
      <c r="AO8" s="9" t="str">
        <f t="shared" ref="AO8:AO12" si="33">IF(ISBLANK($G8)=TRUE,"",IF(SIGN(AL8-AN8)=SIGN($G8-$I8),1,0)+IF(AL8=$G8,IF(AN8=$I8,2,0),0))</f>
        <v/>
      </c>
      <c r="AP8" s="3"/>
      <c r="AQ8" s="1" t="s">
        <v>1</v>
      </c>
      <c r="AR8" s="5"/>
      <c r="AS8" s="9" t="str">
        <f t="shared" ref="AS8:AS12" si="34">IF(ISBLANK($G8)=TRUE,"",IF(SIGN(AP8-AR8)=SIGN($G8-$I8),1,0)+IF(AP8=$G8,IF(AR8=$I8,2,0),0))</f>
        <v/>
      </c>
      <c r="AT8" s="3"/>
      <c r="AU8" s="1" t="s">
        <v>1</v>
      </c>
      <c r="AV8" s="5"/>
      <c r="AW8" s="9" t="str">
        <f t="shared" ref="AW8:AW12" si="35">IF(ISBLANK($G8)=TRUE,"",IF(SIGN(AT8-AV8)=SIGN($G8-$I8),1,0)+IF(AT8=$G8,IF(AV8=$I8,2,0),0))</f>
        <v/>
      </c>
      <c r="AX8" s="3"/>
      <c r="AY8" s="1" t="s">
        <v>1</v>
      </c>
      <c r="AZ8" s="5"/>
      <c r="BA8" s="9" t="str">
        <f t="shared" ref="BA8:BA12" si="36">IF(ISBLANK($G8)=TRUE,"",IF(SIGN(AX8-AZ8)=SIGN($G8-$I8),1,0)+IF(AX8=$G8,IF(AZ8=$I8,2,0),0))</f>
        <v/>
      </c>
      <c r="BB8" s="3"/>
      <c r="BC8" s="1" t="s">
        <v>1</v>
      </c>
      <c r="BD8" s="5"/>
      <c r="BE8" s="9" t="str">
        <f t="shared" ref="BE8:BE12" si="37">IF(ISBLANK($G8)=TRUE,"",IF(SIGN(BB8-BD8)=SIGN($G8-$I8),1,0)+IF(BB8=$G8,IF(BD8=$I8,2,0),0))</f>
        <v/>
      </c>
      <c r="BF8" s="3"/>
      <c r="BG8" s="1" t="s">
        <v>1</v>
      </c>
      <c r="BH8" s="5"/>
      <c r="BI8" s="9" t="str">
        <f t="shared" ref="BI8:BI12" si="38">IF(ISBLANK($G8)=TRUE,"",IF(SIGN(BF8-BH8)=SIGN($G8-$I8),1,0)+IF(BF8=$G8,IF(BH8=$I8,2,0),0))</f>
        <v/>
      </c>
      <c r="BJ8" s="3"/>
      <c r="BK8" s="1" t="s">
        <v>1</v>
      </c>
      <c r="BL8" s="5"/>
      <c r="BM8" s="9" t="str">
        <f t="shared" ref="BM8:BM12" si="39">IF(ISBLANK($G8)=TRUE,"",IF(SIGN(BJ8-BL8)=SIGN($G8-$I8),1,0)+IF(BJ8=$G8,IF(BL8=$I8,2,0),0))</f>
        <v/>
      </c>
      <c r="BN8" s="3"/>
      <c r="BO8" s="1" t="s">
        <v>1</v>
      </c>
      <c r="BP8" s="5"/>
      <c r="BQ8" s="9" t="str">
        <f t="shared" ref="BQ8:BQ12" si="40">IF(ISBLANK($G8)=TRUE,"",IF(SIGN(BN8-BP8)=SIGN($G8-$I8),1,0)+IF(BN8=$G8,IF(BP8=$I8,2,0),0))</f>
        <v/>
      </c>
      <c r="BR8" s="3"/>
      <c r="BS8" s="1" t="s">
        <v>1</v>
      </c>
      <c r="BT8" s="5"/>
      <c r="BU8" s="9" t="str">
        <f t="shared" ref="BU8:BU12" si="41">IF(ISBLANK($G8)=TRUE,"",IF(SIGN(BR8-BT8)=SIGN($G8-$I8),1,0)+IF(BR8=$G8,IF(BT8=$I8,2,0),0))</f>
        <v/>
      </c>
      <c r="BV8" s="3"/>
      <c r="BW8" s="1" t="s">
        <v>1</v>
      </c>
      <c r="BX8" s="5"/>
      <c r="BY8" s="9" t="str">
        <f t="shared" ref="BY8:BY12" si="42">IF(ISBLANK($G8)=TRUE,"",IF(SIGN(BV8-BX8)=SIGN($G8-$I8),1,0)+IF(BV8=$G8,IF(BX8=$I8,2,0),0))</f>
        <v/>
      </c>
      <c r="BZ8" s="3"/>
      <c r="CA8" s="1" t="s">
        <v>1</v>
      </c>
      <c r="CB8" s="5"/>
      <c r="CC8" s="9" t="str">
        <f t="shared" ref="CC8:CC12" si="43">IF(ISBLANK($G8)=TRUE,"",IF(SIGN(BZ8-CB8)=SIGN($G8-$I8),1,0)+IF(BZ8=$G8,IF(CB8=$I8,2,0),0))</f>
        <v/>
      </c>
      <c r="CD8" s="3"/>
      <c r="CE8" s="1" t="s">
        <v>1</v>
      </c>
      <c r="CF8" s="5"/>
      <c r="CG8" s="9" t="str">
        <f t="shared" ref="CG8:CG12" si="44">IF(ISBLANK($G8)=TRUE,"",IF(SIGN(CD8-CF8)=SIGN($G8-$I8),1,0)+IF(CD8=$G8,IF(CF8=$I8,2,0),0))</f>
        <v/>
      </c>
      <c r="CH8" s="3"/>
      <c r="CI8" s="1" t="s">
        <v>1</v>
      </c>
      <c r="CJ8" s="5"/>
      <c r="CK8" s="9" t="str">
        <f t="shared" ref="CK8:CK12" si="45">IF(ISBLANK($G8)=TRUE,"",IF(SIGN(CH8-CJ8)=SIGN($G8-$I8),1,0)+IF(CH8=$G8,IF(CJ8=$I8,2,0),0))</f>
        <v/>
      </c>
      <c r="CL8" s="3"/>
      <c r="CM8" s="1" t="s">
        <v>1</v>
      </c>
      <c r="CN8" s="5"/>
      <c r="CO8" s="9" t="str">
        <f t="shared" si="20"/>
        <v/>
      </c>
      <c r="CP8" s="3"/>
      <c r="CQ8" s="1" t="s">
        <v>1</v>
      </c>
      <c r="CR8" s="5"/>
      <c r="CS8" s="9" t="str">
        <f t="shared" si="21"/>
        <v/>
      </c>
      <c r="CT8" s="3"/>
      <c r="CU8" s="1" t="s">
        <v>1</v>
      </c>
      <c r="CV8" s="5"/>
      <c r="CW8" s="9" t="str">
        <f t="shared" si="22"/>
        <v/>
      </c>
      <c r="CX8" s="3"/>
      <c r="CY8" s="1" t="s">
        <v>1</v>
      </c>
      <c r="CZ8" s="5"/>
      <c r="DA8" s="9" t="str">
        <f t="shared" si="23"/>
        <v/>
      </c>
      <c r="DB8" s="3"/>
      <c r="DC8" s="1" t="s">
        <v>1</v>
      </c>
      <c r="DD8" s="5"/>
      <c r="DE8" s="9" t="str">
        <f t="shared" si="24"/>
        <v/>
      </c>
      <c r="DF8" s="3"/>
      <c r="DG8" s="1" t="s">
        <v>1</v>
      </c>
      <c r="DH8" s="5"/>
      <c r="DI8" s="9" t="str">
        <f t="shared" si="25"/>
        <v/>
      </c>
    </row>
    <row r="9" spans="2:113" x14ac:dyDescent="0.3">
      <c r="B9" s="12">
        <v>46204</v>
      </c>
      <c r="C9" s="30">
        <v>0.125</v>
      </c>
      <c r="D9" s="3"/>
      <c r="E9" s="1" t="s">
        <v>1</v>
      </c>
      <c r="F9" s="5"/>
      <c r="G9" s="3"/>
      <c r="H9" s="1" t="s">
        <v>1</v>
      </c>
      <c r="I9" s="5"/>
      <c r="J9" s="3"/>
      <c r="K9" s="1" t="s">
        <v>1</v>
      </c>
      <c r="L9" s="5"/>
      <c r="M9" s="9" t="str">
        <f t="shared" si="26"/>
        <v/>
      </c>
      <c r="N9" s="3"/>
      <c r="O9" s="1" t="s">
        <v>1</v>
      </c>
      <c r="P9" s="5"/>
      <c r="Q9" s="9" t="str">
        <f t="shared" si="27"/>
        <v/>
      </c>
      <c r="R9" s="3"/>
      <c r="S9" s="1" t="s">
        <v>1</v>
      </c>
      <c r="T9" s="5"/>
      <c r="U9" s="9" t="str">
        <f t="shared" si="28"/>
        <v/>
      </c>
      <c r="V9" s="3"/>
      <c r="W9" s="1" t="s">
        <v>1</v>
      </c>
      <c r="X9" s="5"/>
      <c r="Y9" s="9" t="str">
        <f t="shared" si="29"/>
        <v/>
      </c>
      <c r="Z9" s="3"/>
      <c r="AA9" s="1" t="s">
        <v>1</v>
      </c>
      <c r="AB9" s="5"/>
      <c r="AC9" s="9" t="str">
        <f t="shared" si="30"/>
        <v/>
      </c>
      <c r="AD9" s="3"/>
      <c r="AE9" s="1" t="s">
        <v>1</v>
      </c>
      <c r="AF9" s="5"/>
      <c r="AG9" s="9" t="str">
        <f t="shared" si="31"/>
        <v/>
      </c>
      <c r="AH9" s="3"/>
      <c r="AI9" s="1" t="s">
        <v>1</v>
      </c>
      <c r="AJ9" s="5"/>
      <c r="AK9" s="9" t="str">
        <f t="shared" si="32"/>
        <v/>
      </c>
      <c r="AL9" s="3"/>
      <c r="AM9" s="1" t="s">
        <v>1</v>
      </c>
      <c r="AN9" s="5"/>
      <c r="AO9" s="9" t="str">
        <f t="shared" si="33"/>
        <v/>
      </c>
      <c r="AP9" s="3"/>
      <c r="AQ9" s="1" t="s">
        <v>1</v>
      </c>
      <c r="AR9" s="5"/>
      <c r="AS9" s="9" t="str">
        <f t="shared" si="34"/>
        <v/>
      </c>
      <c r="AT9" s="3"/>
      <c r="AU9" s="1" t="s">
        <v>1</v>
      </c>
      <c r="AV9" s="5"/>
      <c r="AW9" s="9" t="str">
        <f t="shared" si="35"/>
        <v/>
      </c>
      <c r="AX9" s="3"/>
      <c r="AY9" s="1" t="s">
        <v>1</v>
      </c>
      <c r="AZ9" s="5"/>
      <c r="BA9" s="9" t="str">
        <f t="shared" si="36"/>
        <v/>
      </c>
      <c r="BB9" s="3"/>
      <c r="BC9" s="1" t="s">
        <v>1</v>
      </c>
      <c r="BD9" s="5"/>
      <c r="BE9" s="9" t="str">
        <f t="shared" si="37"/>
        <v/>
      </c>
      <c r="BF9" s="3"/>
      <c r="BG9" s="1" t="s">
        <v>1</v>
      </c>
      <c r="BH9" s="5"/>
      <c r="BI9" s="9" t="str">
        <f t="shared" si="38"/>
        <v/>
      </c>
      <c r="BJ9" s="3"/>
      <c r="BK9" s="1" t="s">
        <v>1</v>
      </c>
      <c r="BL9" s="5"/>
      <c r="BM9" s="9" t="str">
        <f t="shared" si="39"/>
        <v/>
      </c>
      <c r="BN9" s="3"/>
      <c r="BO9" s="1" t="s">
        <v>1</v>
      </c>
      <c r="BP9" s="5"/>
      <c r="BQ9" s="9" t="str">
        <f t="shared" si="40"/>
        <v/>
      </c>
      <c r="BR9" s="3"/>
      <c r="BS9" s="1" t="s">
        <v>1</v>
      </c>
      <c r="BT9" s="5"/>
      <c r="BU9" s="9" t="str">
        <f t="shared" si="41"/>
        <v/>
      </c>
      <c r="BV9" s="3"/>
      <c r="BW9" s="1" t="s">
        <v>1</v>
      </c>
      <c r="BX9" s="5"/>
      <c r="BY9" s="9" t="str">
        <f t="shared" si="42"/>
        <v/>
      </c>
      <c r="BZ9" s="3"/>
      <c r="CA9" s="1" t="s">
        <v>1</v>
      </c>
      <c r="CB9" s="5"/>
      <c r="CC9" s="9" t="str">
        <f t="shared" si="43"/>
        <v/>
      </c>
      <c r="CD9" s="3"/>
      <c r="CE9" s="1" t="s">
        <v>1</v>
      </c>
      <c r="CF9" s="5"/>
      <c r="CG9" s="9" t="str">
        <f t="shared" si="44"/>
        <v/>
      </c>
      <c r="CH9" s="3"/>
      <c r="CI9" s="1" t="s">
        <v>1</v>
      </c>
      <c r="CJ9" s="5"/>
      <c r="CK9" s="9" t="str">
        <f t="shared" si="45"/>
        <v/>
      </c>
      <c r="CL9" s="3"/>
      <c r="CM9" s="1" t="s">
        <v>1</v>
      </c>
      <c r="CN9" s="5"/>
      <c r="CO9" s="9" t="str">
        <f t="shared" si="20"/>
        <v/>
      </c>
      <c r="CP9" s="3"/>
      <c r="CQ9" s="1" t="s">
        <v>1</v>
      </c>
      <c r="CR9" s="5"/>
      <c r="CS9" s="9" t="str">
        <f t="shared" si="21"/>
        <v/>
      </c>
      <c r="CT9" s="3"/>
      <c r="CU9" s="1" t="s">
        <v>1</v>
      </c>
      <c r="CV9" s="5"/>
      <c r="CW9" s="9" t="str">
        <f t="shared" si="22"/>
        <v/>
      </c>
      <c r="CX9" s="3"/>
      <c r="CY9" s="1" t="s">
        <v>1</v>
      </c>
      <c r="CZ9" s="5"/>
      <c r="DA9" s="9" t="str">
        <f t="shared" si="23"/>
        <v/>
      </c>
      <c r="DB9" s="3"/>
      <c r="DC9" s="1" t="s">
        <v>1</v>
      </c>
      <c r="DD9" s="5"/>
      <c r="DE9" s="9" t="str">
        <f t="shared" si="24"/>
        <v/>
      </c>
      <c r="DF9" s="3"/>
      <c r="DG9" s="1" t="s">
        <v>1</v>
      </c>
      <c r="DH9" s="5"/>
      <c r="DI9" s="9" t="str">
        <f t="shared" si="25"/>
        <v/>
      </c>
    </row>
    <row r="10" spans="2:113" x14ac:dyDescent="0.3">
      <c r="B10" s="12">
        <v>46204</v>
      </c>
      <c r="C10" s="30">
        <v>0.75</v>
      </c>
      <c r="D10" s="3"/>
      <c r="E10" s="1" t="s">
        <v>1</v>
      </c>
      <c r="F10" s="5"/>
      <c r="G10" s="3"/>
      <c r="H10" s="1" t="s">
        <v>1</v>
      </c>
      <c r="I10" s="5"/>
      <c r="J10" s="3"/>
      <c r="K10" s="1" t="s">
        <v>1</v>
      </c>
      <c r="L10" s="5"/>
      <c r="M10" s="9" t="str">
        <f t="shared" si="26"/>
        <v/>
      </c>
      <c r="N10" s="3"/>
      <c r="O10" s="1" t="s">
        <v>1</v>
      </c>
      <c r="P10" s="5"/>
      <c r="Q10" s="9" t="str">
        <f t="shared" si="27"/>
        <v/>
      </c>
      <c r="R10" s="3"/>
      <c r="S10" s="1" t="s">
        <v>1</v>
      </c>
      <c r="T10" s="5"/>
      <c r="U10" s="9" t="str">
        <f t="shared" si="28"/>
        <v/>
      </c>
      <c r="V10" s="3"/>
      <c r="W10" s="1" t="s">
        <v>1</v>
      </c>
      <c r="X10" s="5"/>
      <c r="Y10" s="9" t="str">
        <f t="shared" si="29"/>
        <v/>
      </c>
      <c r="Z10" s="3"/>
      <c r="AA10" s="1" t="s">
        <v>1</v>
      </c>
      <c r="AB10" s="5"/>
      <c r="AC10" s="9" t="str">
        <f t="shared" si="30"/>
        <v/>
      </c>
      <c r="AD10" s="3"/>
      <c r="AE10" s="1" t="s">
        <v>1</v>
      </c>
      <c r="AF10" s="5"/>
      <c r="AG10" s="9" t="str">
        <f t="shared" si="31"/>
        <v/>
      </c>
      <c r="AH10" s="3"/>
      <c r="AI10" s="1" t="s">
        <v>1</v>
      </c>
      <c r="AJ10" s="5"/>
      <c r="AK10" s="9" t="str">
        <f t="shared" si="32"/>
        <v/>
      </c>
      <c r="AL10" s="3"/>
      <c r="AM10" s="1" t="s">
        <v>1</v>
      </c>
      <c r="AN10" s="5"/>
      <c r="AO10" s="9" t="str">
        <f t="shared" si="33"/>
        <v/>
      </c>
      <c r="AP10" s="3"/>
      <c r="AQ10" s="1" t="s">
        <v>1</v>
      </c>
      <c r="AR10" s="5"/>
      <c r="AS10" s="9" t="str">
        <f t="shared" si="34"/>
        <v/>
      </c>
      <c r="AT10" s="3"/>
      <c r="AU10" s="1" t="s">
        <v>1</v>
      </c>
      <c r="AV10" s="5"/>
      <c r="AW10" s="9" t="str">
        <f t="shared" si="35"/>
        <v/>
      </c>
      <c r="AX10" s="3"/>
      <c r="AY10" s="1" t="s">
        <v>1</v>
      </c>
      <c r="AZ10" s="5"/>
      <c r="BA10" s="9" t="str">
        <f t="shared" si="36"/>
        <v/>
      </c>
      <c r="BB10" s="3"/>
      <c r="BC10" s="1" t="s">
        <v>1</v>
      </c>
      <c r="BD10" s="5"/>
      <c r="BE10" s="9" t="str">
        <f t="shared" si="37"/>
        <v/>
      </c>
      <c r="BF10" s="3"/>
      <c r="BG10" s="1" t="s">
        <v>1</v>
      </c>
      <c r="BH10" s="5"/>
      <c r="BI10" s="9" t="str">
        <f t="shared" si="38"/>
        <v/>
      </c>
      <c r="BJ10" s="3"/>
      <c r="BK10" s="1" t="s">
        <v>1</v>
      </c>
      <c r="BL10" s="5"/>
      <c r="BM10" s="9" t="str">
        <f t="shared" si="39"/>
        <v/>
      </c>
      <c r="BN10" s="3"/>
      <c r="BO10" s="1" t="s">
        <v>1</v>
      </c>
      <c r="BP10" s="5"/>
      <c r="BQ10" s="9" t="str">
        <f t="shared" si="40"/>
        <v/>
      </c>
      <c r="BR10" s="3"/>
      <c r="BS10" s="1" t="s">
        <v>1</v>
      </c>
      <c r="BT10" s="5"/>
      <c r="BU10" s="9" t="str">
        <f t="shared" si="41"/>
        <v/>
      </c>
      <c r="BV10" s="3"/>
      <c r="BW10" s="1" t="s">
        <v>1</v>
      </c>
      <c r="BX10" s="5"/>
      <c r="BY10" s="9" t="str">
        <f t="shared" si="42"/>
        <v/>
      </c>
      <c r="BZ10" s="3"/>
      <c r="CA10" s="1" t="s">
        <v>1</v>
      </c>
      <c r="CB10" s="5"/>
      <c r="CC10" s="9" t="str">
        <f t="shared" si="43"/>
        <v/>
      </c>
      <c r="CD10" s="3"/>
      <c r="CE10" s="1" t="s">
        <v>1</v>
      </c>
      <c r="CF10" s="5"/>
      <c r="CG10" s="9" t="str">
        <f t="shared" si="44"/>
        <v/>
      </c>
      <c r="CH10" s="3"/>
      <c r="CI10" s="1" t="s">
        <v>1</v>
      </c>
      <c r="CJ10" s="5"/>
      <c r="CK10" s="9" t="str">
        <f t="shared" si="45"/>
        <v/>
      </c>
      <c r="CL10" s="3"/>
      <c r="CM10" s="1" t="s">
        <v>1</v>
      </c>
      <c r="CN10" s="5"/>
      <c r="CO10" s="9" t="str">
        <f t="shared" si="20"/>
        <v/>
      </c>
      <c r="CP10" s="3"/>
      <c r="CQ10" s="1" t="s">
        <v>1</v>
      </c>
      <c r="CR10" s="5"/>
      <c r="CS10" s="9" t="str">
        <f t="shared" si="21"/>
        <v/>
      </c>
      <c r="CT10" s="3"/>
      <c r="CU10" s="1" t="s">
        <v>1</v>
      </c>
      <c r="CV10" s="5"/>
      <c r="CW10" s="9" t="str">
        <f t="shared" si="22"/>
        <v/>
      </c>
      <c r="CX10" s="3"/>
      <c r="CY10" s="1" t="s">
        <v>1</v>
      </c>
      <c r="CZ10" s="5"/>
      <c r="DA10" s="9" t="str">
        <f t="shared" si="23"/>
        <v/>
      </c>
      <c r="DB10" s="3"/>
      <c r="DC10" s="1" t="s">
        <v>1</v>
      </c>
      <c r="DD10" s="5"/>
      <c r="DE10" s="9" t="str">
        <f t="shared" si="24"/>
        <v/>
      </c>
      <c r="DF10" s="3"/>
      <c r="DG10" s="1" t="s">
        <v>1</v>
      </c>
      <c r="DH10" s="5"/>
      <c r="DI10" s="9" t="str">
        <f t="shared" si="25"/>
        <v/>
      </c>
    </row>
    <row r="11" spans="2:113" x14ac:dyDescent="0.3">
      <c r="B11" s="12">
        <v>46204</v>
      </c>
      <c r="C11" s="30">
        <v>0.91666666666666663</v>
      </c>
      <c r="D11" s="3"/>
      <c r="E11" s="1" t="s">
        <v>1</v>
      </c>
      <c r="F11" s="5"/>
      <c r="G11" s="3"/>
      <c r="H11" s="1" t="s">
        <v>1</v>
      </c>
      <c r="I11" s="5"/>
      <c r="J11" s="3"/>
      <c r="K11" s="1" t="s">
        <v>1</v>
      </c>
      <c r="L11" s="5"/>
      <c r="M11" s="9" t="str">
        <f t="shared" si="26"/>
        <v/>
      </c>
      <c r="N11" s="3"/>
      <c r="O11" s="1" t="s">
        <v>1</v>
      </c>
      <c r="P11" s="5"/>
      <c r="Q11" s="9" t="str">
        <f t="shared" si="27"/>
        <v/>
      </c>
      <c r="R11" s="3"/>
      <c r="S11" s="1" t="s">
        <v>1</v>
      </c>
      <c r="T11" s="5"/>
      <c r="U11" s="9" t="str">
        <f t="shared" si="28"/>
        <v/>
      </c>
      <c r="V11" s="3"/>
      <c r="W11" s="1" t="s">
        <v>1</v>
      </c>
      <c r="X11" s="5"/>
      <c r="Y11" s="9" t="str">
        <f t="shared" si="29"/>
        <v/>
      </c>
      <c r="Z11" s="3"/>
      <c r="AA11" s="1" t="s">
        <v>1</v>
      </c>
      <c r="AB11" s="5"/>
      <c r="AC11" s="9" t="str">
        <f t="shared" si="30"/>
        <v/>
      </c>
      <c r="AD11" s="3"/>
      <c r="AE11" s="1" t="s">
        <v>1</v>
      </c>
      <c r="AF11" s="5"/>
      <c r="AG11" s="9" t="str">
        <f t="shared" si="31"/>
        <v/>
      </c>
      <c r="AH11" s="3"/>
      <c r="AI11" s="1" t="s">
        <v>1</v>
      </c>
      <c r="AJ11" s="5"/>
      <c r="AK11" s="9" t="str">
        <f t="shared" si="32"/>
        <v/>
      </c>
      <c r="AL11" s="3"/>
      <c r="AM11" s="1" t="s">
        <v>1</v>
      </c>
      <c r="AN11" s="5"/>
      <c r="AO11" s="9" t="str">
        <f t="shared" si="33"/>
        <v/>
      </c>
      <c r="AP11" s="3"/>
      <c r="AQ11" s="1" t="s">
        <v>1</v>
      </c>
      <c r="AR11" s="5"/>
      <c r="AS11" s="9" t="str">
        <f t="shared" si="34"/>
        <v/>
      </c>
      <c r="AT11" s="3"/>
      <c r="AU11" s="1" t="s">
        <v>1</v>
      </c>
      <c r="AV11" s="5"/>
      <c r="AW11" s="9" t="str">
        <f t="shared" si="35"/>
        <v/>
      </c>
      <c r="AX11" s="3"/>
      <c r="AY11" s="1" t="s">
        <v>1</v>
      </c>
      <c r="AZ11" s="5"/>
      <c r="BA11" s="9" t="str">
        <f t="shared" si="36"/>
        <v/>
      </c>
      <c r="BB11" s="3"/>
      <c r="BC11" s="1" t="s">
        <v>1</v>
      </c>
      <c r="BD11" s="5"/>
      <c r="BE11" s="9" t="str">
        <f t="shared" si="37"/>
        <v/>
      </c>
      <c r="BF11" s="3"/>
      <c r="BG11" s="1" t="s">
        <v>1</v>
      </c>
      <c r="BH11" s="5"/>
      <c r="BI11" s="9" t="str">
        <f t="shared" si="38"/>
        <v/>
      </c>
      <c r="BJ11" s="3"/>
      <c r="BK11" s="1" t="s">
        <v>1</v>
      </c>
      <c r="BL11" s="5"/>
      <c r="BM11" s="9" t="str">
        <f t="shared" si="39"/>
        <v/>
      </c>
      <c r="BN11" s="3"/>
      <c r="BO11" s="1" t="s">
        <v>1</v>
      </c>
      <c r="BP11" s="5"/>
      <c r="BQ11" s="9" t="str">
        <f t="shared" si="40"/>
        <v/>
      </c>
      <c r="BR11" s="3"/>
      <c r="BS11" s="1" t="s">
        <v>1</v>
      </c>
      <c r="BT11" s="5"/>
      <c r="BU11" s="9" t="str">
        <f t="shared" si="41"/>
        <v/>
      </c>
      <c r="BV11" s="3"/>
      <c r="BW11" s="1" t="s">
        <v>1</v>
      </c>
      <c r="BX11" s="5"/>
      <c r="BY11" s="9" t="str">
        <f t="shared" si="42"/>
        <v/>
      </c>
      <c r="BZ11" s="3"/>
      <c r="CA11" s="1" t="s">
        <v>1</v>
      </c>
      <c r="CB11" s="5"/>
      <c r="CC11" s="9" t="str">
        <f t="shared" si="43"/>
        <v/>
      </c>
      <c r="CD11" s="3"/>
      <c r="CE11" s="1" t="s">
        <v>1</v>
      </c>
      <c r="CF11" s="5"/>
      <c r="CG11" s="9" t="str">
        <f t="shared" si="44"/>
        <v/>
      </c>
      <c r="CH11" s="3"/>
      <c r="CI11" s="1" t="s">
        <v>1</v>
      </c>
      <c r="CJ11" s="5"/>
      <c r="CK11" s="9" t="str">
        <f t="shared" si="45"/>
        <v/>
      </c>
      <c r="CL11" s="3"/>
      <c r="CM11" s="1" t="s">
        <v>1</v>
      </c>
      <c r="CN11" s="5"/>
      <c r="CO11" s="9" t="str">
        <f t="shared" si="20"/>
        <v/>
      </c>
      <c r="CP11" s="3"/>
      <c r="CQ11" s="1" t="s">
        <v>1</v>
      </c>
      <c r="CR11" s="5"/>
      <c r="CS11" s="9" t="str">
        <f t="shared" si="21"/>
        <v/>
      </c>
      <c r="CT11" s="3"/>
      <c r="CU11" s="1" t="s">
        <v>1</v>
      </c>
      <c r="CV11" s="5"/>
      <c r="CW11" s="9" t="str">
        <f t="shared" si="22"/>
        <v/>
      </c>
      <c r="CX11" s="3"/>
      <c r="CY11" s="1" t="s">
        <v>1</v>
      </c>
      <c r="CZ11" s="5"/>
      <c r="DA11" s="9" t="str">
        <f t="shared" si="23"/>
        <v/>
      </c>
      <c r="DB11" s="3"/>
      <c r="DC11" s="1" t="s">
        <v>1</v>
      </c>
      <c r="DD11" s="5"/>
      <c r="DE11" s="9" t="str">
        <f t="shared" si="24"/>
        <v/>
      </c>
      <c r="DF11" s="3"/>
      <c r="DG11" s="1" t="s">
        <v>1</v>
      </c>
      <c r="DH11" s="5"/>
      <c r="DI11" s="9" t="str">
        <f t="shared" si="25"/>
        <v/>
      </c>
    </row>
    <row r="12" spans="2:113" x14ac:dyDescent="0.3">
      <c r="B12" s="12">
        <v>46205</v>
      </c>
      <c r="C12" s="30">
        <v>8.3333333333333329E-2</v>
      </c>
      <c r="D12" s="3"/>
      <c r="E12" s="1" t="s">
        <v>1</v>
      </c>
      <c r="F12" s="5"/>
      <c r="G12" s="3"/>
      <c r="H12" s="1" t="s">
        <v>1</v>
      </c>
      <c r="I12" s="5"/>
      <c r="J12" s="3"/>
      <c r="K12" s="1" t="s">
        <v>1</v>
      </c>
      <c r="L12" s="5"/>
      <c r="M12" s="9" t="str">
        <f t="shared" ref="M12" si="46">IF(ISBLANK($G12)=TRUE,"",IF(SIGN(J12-L12)=SIGN($G12-$I12),1,0)+IF(J12=$G12,IF(L12=$I12,2,0),0))</f>
        <v/>
      </c>
      <c r="N12" s="3"/>
      <c r="O12" s="1" t="s">
        <v>1</v>
      </c>
      <c r="P12" s="5"/>
      <c r="Q12" s="9" t="str">
        <f t="shared" si="27"/>
        <v/>
      </c>
      <c r="R12" s="3"/>
      <c r="S12" s="1" t="s">
        <v>1</v>
      </c>
      <c r="T12" s="5"/>
      <c r="U12" s="9" t="str">
        <f t="shared" si="28"/>
        <v/>
      </c>
      <c r="V12" s="3"/>
      <c r="W12" s="1" t="s">
        <v>1</v>
      </c>
      <c r="X12" s="5"/>
      <c r="Y12" s="9" t="str">
        <f t="shared" si="29"/>
        <v/>
      </c>
      <c r="Z12" s="3"/>
      <c r="AA12" s="1" t="s">
        <v>1</v>
      </c>
      <c r="AB12" s="5"/>
      <c r="AC12" s="9" t="str">
        <f t="shared" si="30"/>
        <v/>
      </c>
      <c r="AD12" s="3"/>
      <c r="AE12" s="1" t="s">
        <v>1</v>
      </c>
      <c r="AF12" s="5"/>
      <c r="AG12" s="9" t="str">
        <f t="shared" si="31"/>
        <v/>
      </c>
      <c r="AH12" s="3"/>
      <c r="AI12" s="1" t="s">
        <v>1</v>
      </c>
      <c r="AJ12" s="5"/>
      <c r="AK12" s="9" t="str">
        <f t="shared" si="32"/>
        <v/>
      </c>
      <c r="AL12" s="3"/>
      <c r="AM12" s="1" t="s">
        <v>1</v>
      </c>
      <c r="AN12" s="5"/>
      <c r="AO12" s="9" t="str">
        <f t="shared" si="33"/>
        <v/>
      </c>
      <c r="AP12" s="3"/>
      <c r="AQ12" s="1" t="s">
        <v>1</v>
      </c>
      <c r="AR12" s="5"/>
      <c r="AS12" s="9" t="str">
        <f t="shared" si="34"/>
        <v/>
      </c>
      <c r="AT12" s="3"/>
      <c r="AU12" s="1" t="s">
        <v>1</v>
      </c>
      <c r="AV12" s="5"/>
      <c r="AW12" s="9" t="str">
        <f t="shared" si="35"/>
        <v/>
      </c>
      <c r="AX12" s="3"/>
      <c r="AY12" s="1" t="s">
        <v>1</v>
      </c>
      <c r="AZ12" s="5"/>
      <c r="BA12" s="9" t="str">
        <f t="shared" si="36"/>
        <v/>
      </c>
      <c r="BB12" s="3"/>
      <c r="BC12" s="1" t="s">
        <v>1</v>
      </c>
      <c r="BD12" s="5"/>
      <c r="BE12" s="9" t="str">
        <f t="shared" si="37"/>
        <v/>
      </c>
      <c r="BF12" s="3"/>
      <c r="BG12" s="1" t="s">
        <v>1</v>
      </c>
      <c r="BH12" s="5"/>
      <c r="BI12" s="9" t="str">
        <f t="shared" si="38"/>
        <v/>
      </c>
      <c r="BJ12" s="3"/>
      <c r="BK12" s="1" t="s">
        <v>1</v>
      </c>
      <c r="BL12" s="5"/>
      <c r="BM12" s="9" t="str">
        <f t="shared" si="39"/>
        <v/>
      </c>
      <c r="BN12" s="3"/>
      <c r="BO12" s="1" t="s">
        <v>1</v>
      </c>
      <c r="BP12" s="5"/>
      <c r="BQ12" s="9" t="str">
        <f t="shared" si="40"/>
        <v/>
      </c>
      <c r="BR12" s="3"/>
      <c r="BS12" s="1" t="s">
        <v>1</v>
      </c>
      <c r="BT12" s="5"/>
      <c r="BU12" s="9" t="str">
        <f t="shared" si="41"/>
        <v/>
      </c>
      <c r="BV12" s="3"/>
      <c r="BW12" s="1" t="s">
        <v>1</v>
      </c>
      <c r="BX12" s="5"/>
      <c r="BY12" s="9" t="str">
        <f t="shared" si="42"/>
        <v/>
      </c>
      <c r="BZ12" s="3"/>
      <c r="CA12" s="1" t="s">
        <v>1</v>
      </c>
      <c r="CB12" s="5"/>
      <c r="CC12" s="9" t="str">
        <f t="shared" si="43"/>
        <v/>
      </c>
      <c r="CD12" s="3"/>
      <c r="CE12" s="1" t="s">
        <v>1</v>
      </c>
      <c r="CF12" s="5"/>
      <c r="CG12" s="9" t="str">
        <f t="shared" si="44"/>
        <v/>
      </c>
      <c r="CH12" s="3"/>
      <c r="CI12" s="1" t="s">
        <v>1</v>
      </c>
      <c r="CJ12" s="5"/>
      <c r="CK12" s="9" t="str">
        <f t="shared" si="45"/>
        <v/>
      </c>
      <c r="CL12" s="3"/>
      <c r="CM12" s="1" t="s">
        <v>1</v>
      </c>
      <c r="CN12" s="5"/>
      <c r="CO12" s="9" t="str">
        <f t="shared" si="20"/>
        <v/>
      </c>
      <c r="CP12" s="3"/>
      <c r="CQ12" s="1" t="s">
        <v>1</v>
      </c>
      <c r="CR12" s="5"/>
      <c r="CS12" s="9" t="str">
        <f t="shared" si="21"/>
        <v/>
      </c>
      <c r="CT12" s="3"/>
      <c r="CU12" s="1" t="s">
        <v>1</v>
      </c>
      <c r="CV12" s="5"/>
      <c r="CW12" s="9" t="str">
        <f t="shared" si="22"/>
        <v/>
      </c>
      <c r="CX12" s="3"/>
      <c r="CY12" s="1" t="s">
        <v>1</v>
      </c>
      <c r="CZ12" s="5"/>
      <c r="DA12" s="9" t="str">
        <f t="shared" si="23"/>
        <v/>
      </c>
      <c r="DB12" s="3"/>
      <c r="DC12" s="1" t="s">
        <v>1</v>
      </c>
      <c r="DD12" s="5"/>
      <c r="DE12" s="9" t="str">
        <f t="shared" si="24"/>
        <v/>
      </c>
      <c r="DF12" s="3"/>
      <c r="DG12" s="1" t="s">
        <v>1</v>
      </c>
      <c r="DH12" s="5"/>
      <c r="DI12" s="9" t="str">
        <f t="shared" si="25"/>
        <v/>
      </c>
    </row>
    <row r="13" spans="2:113" x14ac:dyDescent="0.3">
      <c r="B13" s="12">
        <v>46205</v>
      </c>
      <c r="C13" s="30">
        <v>0.875</v>
      </c>
      <c r="D13" s="3"/>
      <c r="E13" s="1" t="s">
        <v>1</v>
      </c>
      <c r="F13" s="5"/>
      <c r="G13" s="3"/>
      <c r="H13" s="1" t="s">
        <v>1</v>
      </c>
      <c r="I13" s="5"/>
      <c r="J13" s="3"/>
      <c r="K13" s="1" t="s">
        <v>1</v>
      </c>
      <c r="L13" s="5"/>
      <c r="M13" s="9" t="str">
        <f>IF(ISBLANK($I13)=TRUE,"",IF(SIGN(J13-L13)=SIGN($G13-$I13),1,0)+IF(J13=$G13,IF(L13=$I13,2,0),0))</f>
        <v/>
      </c>
      <c r="N13" s="3"/>
      <c r="O13" s="1" t="s">
        <v>1</v>
      </c>
      <c r="P13" s="5"/>
      <c r="Q13" s="9" t="str">
        <f>IF(ISBLANK($I13)=TRUE,"",IF(SIGN(N13-P13)=SIGN($G13-$I13),1,0)+IF(N13=$G13,IF(P13=$I13,2,0),0))</f>
        <v/>
      </c>
      <c r="R13" s="3"/>
      <c r="S13" s="1" t="s">
        <v>1</v>
      </c>
      <c r="T13" s="5"/>
      <c r="U13" s="9" t="str">
        <f>IF(ISBLANK($I13)=TRUE,"",IF(SIGN(R13-T13)=SIGN($G13-$I13),1,0)+IF(R13=$G13,IF(T13=$I13,2,0),0))</f>
        <v/>
      </c>
      <c r="V13" s="3"/>
      <c r="W13" s="1" t="s">
        <v>1</v>
      </c>
      <c r="X13" s="5"/>
      <c r="Y13" s="9" t="str">
        <f>IF(ISBLANK($I13)=TRUE,"",IF(SIGN(V13-X13)=SIGN($G13-$I13),1,0)+IF(V13=$G13,IF(X13=$I13,2,0),0))</f>
        <v/>
      </c>
      <c r="Z13" s="3"/>
      <c r="AA13" s="1" t="s">
        <v>1</v>
      </c>
      <c r="AB13" s="5"/>
      <c r="AC13" s="9" t="str">
        <f>IF(ISBLANK($I13)=TRUE,"",IF(SIGN(Z13-AB13)=SIGN($G13-$I13),1,0)+IF(Z13=$G13,IF(AB13=$I13,2,0),0))</f>
        <v/>
      </c>
      <c r="AD13" s="3"/>
      <c r="AE13" s="1" t="s">
        <v>1</v>
      </c>
      <c r="AF13" s="5"/>
      <c r="AG13" s="9" t="str">
        <f>IF(ISBLANK($I13)=TRUE,"",IF(SIGN(AD13-AF13)=SIGN($G13-$I13),1,0)+IF(AD13=$G13,IF(AF13=$I13,2,0),0))</f>
        <v/>
      </c>
      <c r="AH13" s="3"/>
      <c r="AI13" s="1" t="s">
        <v>1</v>
      </c>
      <c r="AJ13" s="5"/>
      <c r="AK13" s="9" t="str">
        <f>IF(ISBLANK($I13)=TRUE,"",IF(SIGN(AH13-AJ13)=SIGN($G13-$I13),1,0)+IF(AH13=$G13,IF(AJ13=$I13,2,0),0))</f>
        <v/>
      </c>
      <c r="AL13" s="3"/>
      <c r="AM13" s="1" t="s">
        <v>1</v>
      </c>
      <c r="AN13" s="5"/>
      <c r="AO13" s="9" t="str">
        <f>IF(ISBLANK($I13)=TRUE,"",IF(SIGN(AL13-AN13)=SIGN($G13-$I13),1,0)+IF(AL13=$G13,IF(AN13=$I13,2,0),0))</f>
        <v/>
      </c>
      <c r="AP13" s="3"/>
      <c r="AQ13" s="1" t="s">
        <v>1</v>
      </c>
      <c r="AR13" s="5"/>
      <c r="AS13" s="9" t="str">
        <f>IF(ISBLANK($I13)=TRUE,"",IF(SIGN(AP13-AR13)=SIGN($G13-$I13),1,0)+IF(AP13=$G13,IF(AR13=$I13,2,0),0))</f>
        <v/>
      </c>
      <c r="AT13" s="3"/>
      <c r="AU13" s="1" t="s">
        <v>1</v>
      </c>
      <c r="AV13" s="5"/>
      <c r="AW13" s="9" t="str">
        <f>IF(ISBLANK($I13)=TRUE,"",IF(SIGN(AT13-AV13)=SIGN($G13-$I13),1,0)+IF(AT13=$G13,IF(AV13=$I13,2,0),0))</f>
        <v/>
      </c>
      <c r="AX13" s="3"/>
      <c r="AY13" s="1" t="s">
        <v>1</v>
      </c>
      <c r="AZ13" s="5"/>
      <c r="BA13" s="9" t="str">
        <f>IF(ISBLANK($I13)=TRUE,"",IF(SIGN(AX13-AZ13)=SIGN($G13-$I13),1,0)+IF(AX13=$G13,IF(AZ13=$I13,2,0),0))</f>
        <v/>
      </c>
      <c r="BB13" s="3"/>
      <c r="BC13" s="1" t="s">
        <v>1</v>
      </c>
      <c r="BD13" s="5"/>
      <c r="BE13" s="9" t="str">
        <f>IF(ISBLANK($I13)=TRUE,"",IF(SIGN(BB13-BD13)=SIGN($G13-$I13),1,0)+IF(BB13=$G13,IF(BD13=$I13,2,0),0))</f>
        <v/>
      </c>
      <c r="BF13" s="3"/>
      <c r="BG13" s="1" t="s">
        <v>1</v>
      </c>
      <c r="BH13" s="5"/>
      <c r="BI13" s="9" t="str">
        <f>IF(ISBLANK($I13)=TRUE,"",IF(SIGN(BF13-BH13)=SIGN($G13-$I13),1,0)+IF(BF13=$G13,IF(BH13=$I13,2,0),0))</f>
        <v/>
      </c>
      <c r="BJ13" s="3"/>
      <c r="BK13" s="1" t="s">
        <v>1</v>
      </c>
      <c r="BL13" s="5"/>
      <c r="BM13" s="9" t="str">
        <f>IF(ISBLANK($I13)=TRUE,"",IF(SIGN(BJ13-BL13)=SIGN($G13-$I13),1,0)+IF(BJ13=$G13,IF(BL13=$I13,2,0),0))</f>
        <v/>
      </c>
      <c r="BN13" s="3"/>
      <c r="BO13" s="1" t="s">
        <v>1</v>
      </c>
      <c r="BP13" s="5"/>
      <c r="BQ13" s="9" t="str">
        <f>IF(ISBLANK($I13)=TRUE,"",IF(SIGN(BN13-BP13)=SIGN($G13-$I13),1,0)+IF(BN13=$G13,IF(BP13=$I13,2,0),0))</f>
        <v/>
      </c>
      <c r="BR13" s="3"/>
      <c r="BS13" s="1" t="s">
        <v>1</v>
      </c>
      <c r="BT13" s="5"/>
      <c r="BU13" s="9" t="str">
        <f>IF(ISBLANK($I13)=TRUE,"",IF(SIGN(BR13-BT13)=SIGN($G13-$I13),1,0)+IF(BR13=$G13,IF(BT13=$I13,2,0),0))</f>
        <v/>
      </c>
      <c r="BV13" s="3"/>
      <c r="BW13" s="1" t="s">
        <v>1</v>
      </c>
      <c r="BX13" s="5"/>
      <c r="BY13" s="9" t="str">
        <f>IF(ISBLANK($I13)=TRUE,"",IF(SIGN(BV13-BX13)=SIGN($G13-$I13),1,0)+IF(BV13=$G13,IF(BX13=$I13,2,0),0))</f>
        <v/>
      </c>
      <c r="BZ13" s="3"/>
      <c r="CA13" s="1" t="s">
        <v>1</v>
      </c>
      <c r="CB13" s="5"/>
      <c r="CC13" s="9" t="str">
        <f>IF(ISBLANK($I13)=TRUE,"",IF(SIGN(BZ13-CB13)=SIGN($G13-$I13),1,0)+IF(BZ13=$G13,IF(CB13=$I13,2,0),0))</f>
        <v/>
      </c>
      <c r="CD13" s="3"/>
      <c r="CE13" s="1" t="s">
        <v>1</v>
      </c>
      <c r="CF13" s="5"/>
      <c r="CG13" s="9" t="str">
        <f>IF(ISBLANK($I13)=TRUE,"",IF(SIGN(CD13-CF13)=SIGN($G13-$I13),1,0)+IF(CD13=$G13,IF(CF13=$I13,2,0),0))</f>
        <v/>
      </c>
      <c r="CH13" s="3"/>
      <c r="CI13" s="1" t="s">
        <v>1</v>
      </c>
      <c r="CJ13" s="5"/>
      <c r="CK13" s="9" t="str">
        <f>IF(ISBLANK($I13)=TRUE,"",IF(SIGN(CH13-CJ13)=SIGN($G13-$I13),1,0)+IF(CH13=$G13,IF(CJ13=$I13,2,0),0))</f>
        <v/>
      </c>
      <c r="CL13" s="3"/>
      <c r="CM13" s="1" t="s">
        <v>1</v>
      </c>
      <c r="CN13" s="5"/>
      <c r="CO13" s="9" t="str">
        <f>IF(ISBLANK($I13)=TRUE,"",IF(SIGN(CL13-CN13)=SIGN($G13-$I13),1,0)+IF(CL13=$G13,IF(CN13=$I13,2,0),0))</f>
        <v/>
      </c>
      <c r="CP13" s="3"/>
      <c r="CQ13" s="1" t="s">
        <v>1</v>
      </c>
      <c r="CR13" s="5"/>
      <c r="CS13" s="9" t="str">
        <f>IF(ISBLANK($I13)=TRUE,"",IF(SIGN(CP13-CR13)=SIGN($G13-$I13),1,0)+IF(CP13=$G13,IF(CR13=$I13,2,0),0))</f>
        <v/>
      </c>
      <c r="CT13" s="3"/>
      <c r="CU13" s="1" t="s">
        <v>1</v>
      </c>
      <c r="CV13" s="5"/>
      <c r="CW13" s="9" t="str">
        <f>IF(ISBLANK($I13)=TRUE,"",IF(SIGN(CT13-CV13)=SIGN($G13-$I13),1,0)+IF(CT13=$G13,IF(CV13=$I13,2,0),0))</f>
        <v/>
      </c>
      <c r="CX13" s="3"/>
      <c r="CY13" s="1" t="s">
        <v>1</v>
      </c>
      <c r="CZ13" s="5"/>
      <c r="DA13" s="9" t="str">
        <f>IF(ISBLANK($I13)=TRUE,"",IF(SIGN(CX13-CZ13)=SIGN($G13-$I13),1,0)+IF(CX13=$G13,IF(CZ13=$I13,2,0),0))</f>
        <v/>
      </c>
      <c r="DB13" s="3"/>
      <c r="DC13" s="1" t="s">
        <v>1</v>
      </c>
      <c r="DD13" s="5"/>
      <c r="DE13" s="9" t="str">
        <f>IF(ISBLANK($I13)=TRUE,"",IF(SIGN(DB13-DD13)=SIGN($G13-$I13),1,0)+IF(DB13=$G13,IF(DD13=$I13,2,0),0))</f>
        <v/>
      </c>
      <c r="DF13" s="3"/>
      <c r="DG13" s="1" t="s">
        <v>1</v>
      </c>
      <c r="DH13" s="5"/>
      <c r="DI13" s="9" t="str">
        <f>IF(ISBLANK($I13)=TRUE,"",IF(SIGN(DF13-DH13)=SIGN($G13-$I13),1,0)+IF(DF13=$G13,IF(DH13=$I13,2,0),0))</f>
        <v/>
      </c>
    </row>
    <row r="14" spans="2:113" x14ac:dyDescent="0.3">
      <c r="B14" s="12">
        <v>46206</v>
      </c>
      <c r="C14" s="30">
        <v>4.1666666666666664E-2</v>
      </c>
      <c r="D14" s="3"/>
      <c r="E14" s="1" t="s">
        <v>1</v>
      </c>
      <c r="F14" s="5"/>
      <c r="G14" s="3"/>
      <c r="H14" s="1" t="s">
        <v>1</v>
      </c>
      <c r="I14" s="5"/>
      <c r="J14" s="3"/>
      <c r="K14" s="1" t="s">
        <v>1</v>
      </c>
      <c r="L14" s="5"/>
      <c r="M14" s="9" t="str">
        <f t="shared" ref="M14:M18" si="47">IF(ISBLANK($G14)=TRUE,"",IF(SIGN(J14-L14)=SIGN($G14-$I14),1,0)+IF(J14=$G14,IF(L14=$I14,2,0),0))</f>
        <v/>
      </c>
      <c r="N14" s="3"/>
      <c r="O14" s="1" t="s">
        <v>1</v>
      </c>
      <c r="P14" s="5"/>
      <c r="Q14" s="9" t="str">
        <f t="shared" ref="Q14:Q18" si="48">IF(ISBLANK($G14)=TRUE,"",IF(SIGN(N14-P14)=SIGN($G14-$I14),1,0)+IF(N14=$G14,IF(P14=$I14,2,0),0))</f>
        <v/>
      </c>
      <c r="R14" s="3"/>
      <c r="S14" s="1" t="s">
        <v>1</v>
      </c>
      <c r="T14" s="5"/>
      <c r="U14" s="9" t="str">
        <f t="shared" ref="U14:U18" si="49">IF(ISBLANK($G14)=TRUE,"",IF(SIGN(R14-T14)=SIGN($G14-$I14),1,0)+IF(R14=$G14,IF(T14=$I14,2,0),0))</f>
        <v/>
      </c>
      <c r="V14" s="3"/>
      <c r="W14" s="1" t="s">
        <v>1</v>
      </c>
      <c r="X14" s="5"/>
      <c r="Y14" s="9" t="str">
        <f t="shared" ref="Y14:Y18" si="50">IF(ISBLANK($G14)=TRUE,"",IF(SIGN(V14-X14)=SIGN($G14-$I14),1,0)+IF(V14=$G14,IF(X14=$I14,2,0),0))</f>
        <v/>
      </c>
      <c r="Z14" s="3"/>
      <c r="AA14" s="1" t="s">
        <v>1</v>
      </c>
      <c r="AB14" s="5"/>
      <c r="AC14" s="9" t="str">
        <f t="shared" ref="AC14:AC18" si="51">IF(ISBLANK($G14)=TRUE,"",IF(SIGN(Z14-AB14)=SIGN($G14-$I14),1,0)+IF(Z14=$G14,IF(AB14=$I14,2,0),0))</f>
        <v/>
      </c>
      <c r="AD14" s="3"/>
      <c r="AE14" s="1" t="s">
        <v>1</v>
      </c>
      <c r="AF14" s="5"/>
      <c r="AG14" s="9" t="str">
        <f t="shared" ref="AG14:AG18" si="52">IF(ISBLANK($G14)=TRUE,"",IF(SIGN(AD14-AF14)=SIGN($G14-$I14),1,0)+IF(AD14=$G14,IF(AF14=$I14,2,0),0))</f>
        <v/>
      </c>
      <c r="AH14" s="3"/>
      <c r="AI14" s="1" t="s">
        <v>1</v>
      </c>
      <c r="AJ14" s="5"/>
      <c r="AK14" s="9" t="str">
        <f t="shared" ref="AK14:AK18" si="53">IF(ISBLANK($G14)=TRUE,"",IF(SIGN(AH14-AJ14)=SIGN($G14-$I14),1,0)+IF(AH14=$G14,IF(AJ14=$I14,2,0),0))</f>
        <v/>
      </c>
      <c r="AL14" s="3"/>
      <c r="AM14" s="1" t="s">
        <v>1</v>
      </c>
      <c r="AN14" s="5"/>
      <c r="AO14" s="9" t="str">
        <f t="shared" ref="AO14:AO18" si="54">IF(ISBLANK($G14)=TRUE,"",IF(SIGN(AL14-AN14)=SIGN($G14-$I14),1,0)+IF(AL14=$G14,IF(AN14=$I14,2,0),0))</f>
        <v/>
      </c>
      <c r="AP14" s="3"/>
      <c r="AQ14" s="1" t="s">
        <v>1</v>
      </c>
      <c r="AR14" s="5"/>
      <c r="AS14" s="9" t="str">
        <f t="shared" ref="AS14:AS18" si="55">IF(ISBLANK($G14)=TRUE,"",IF(SIGN(AP14-AR14)=SIGN($G14-$I14),1,0)+IF(AP14=$G14,IF(AR14=$I14,2,0),0))</f>
        <v/>
      </c>
      <c r="AT14" s="3"/>
      <c r="AU14" s="1" t="s">
        <v>1</v>
      </c>
      <c r="AV14" s="5"/>
      <c r="AW14" s="9" t="str">
        <f t="shared" ref="AW14:AW18" si="56">IF(ISBLANK($G14)=TRUE,"",IF(SIGN(AT14-AV14)=SIGN($G14-$I14),1,0)+IF(AT14=$G14,IF(AV14=$I14,2,0),0))</f>
        <v/>
      </c>
      <c r="AX14" s="3"/>
      <c r="AY14" s="1" t="s">
        <v>1</v>
      </c>
      <c r="AZ14" s="5"/>
      <c r="BA14" s="9" t="str">
        <f t="shared" ref="BA14:BA18" si="57">IF(ISBLANK($G14)=TRUE,"",IF(SIGN(AX14-AZ14)=SIGN($G14-$I14),1,0)+IF(AX14=$G14,IF(AZ14=$I14,2,0),0))</f>
        <v/>
      </c>
      <c r="BB14" s="3"/>
      <c r="BC14" s="1" t="s">
        <v>1</v>
      </c>
      <c r="BD14" s="5"/>
      <c r="BE14" s="9" t="str">
        <f t="shared" ref="BE14:BE18" si="58">IF(ISBLANK($G14)=TRUE,"",IF(SIGN(BB14-BD14)=SIGN($G14-$I14),1,0)+IF(BB14=$G14,IF(BD14=$I14,2,0),0))</f>
        <v/>
      </c>
      <c r="BF14" s="3"/>
      <c r="BG14" s="1" t="s">
        <v>1</v>
      </c>
      <c r="BH14" s="5"/>
      <c r="BI14" s="9" t="str">
        <f t="shared" ref="BI14:BI18" si="59">IF(ISBLANK($G14)=TRUE,"",IF(SIGN(BF14-BH14)=SIGN($G14-$I14),1,0)+IF(BF14=$G14,IF(BH14=$I14,2,0),0))</f>
        <v/>
      </c>
      <c r="BJ14" s="3"/>
      <c r="BK14" s="1" t="s">
        <v>1</v>
      </c>
      <c r="BL14" s="5"/>
      <c r="BM14" s="9" t="str">
        <f t="shared" ref="BM14:BM18" si="60">IF(ISBLANK($G14)=TRUE,"",IF(SIGN(BJ14-BL14)=SIGN($G14-$I14),1,0)+IF(BJ14=$G14,IF(BL14=$I14,2,0),0))</f>
        <v/>
      </c>
      <c r="BN14" s="3"/>
      <c r="BO14" s="1" t="s">
        <v>1</v>
      </c>
      <c r="BP14" s="5"/>
      <c r="BQ14" s="9" t="str">
        <f t="shared" ref="BQ14:BQ18" si="61">IF(ISBLANK($G14)=TRUE,"",IF(SIGN(BN14-BP14)=SIGN($G14-$I14),1,0)+IF(BN14=$G14,IF(BP14=$I14,2,0),0))</f>
        <v/>
      </c>
      <c r="BR14" s="3"/>
      <c r="BS14" s="1" t="s">
        <v>1</v>
      </c>
      <c r="BT14" s="5"/>
      <c r="BU14" s="9" t="str">
        <f t="shared" ref="BU14:BU18" si="62">IF(ISBLANK($G14)=TRUE,"",IF(SIGN(BR14-BT14)=SIGN($G14-$I14),1,0)+IF(BR14=$G14,IF(BT14=$I14,2,0),0))</f>
        <v/>
      </c>
      <c r="BV14" s="3"/>
      <c r="BW14" s="1" t="s">
        <v>1</v>
      </c>
      <c r="BX14" s="5"/>
      <c r="BY14" s="9" t="str">
        <f t="shared" ref="BY14:BY18" si="63">IF(ISBLANK($G14)=TRUE,"",IF(SIGN(BV14-BX14)=SIGN($G14-$I14),1,0)+IF(BV14=$G14,IF(BX14=$I14,2,0),0))</f>
        <v/>
      </c>
      <c r="BZ14" s="3"/>
      <c r="CA14" s="1" t="s">
        <v>1</v>
      </c>
      <c r="CB14" s="5"/>
      <c r="CC14" s="9" t="str">
        <f t="shared" ref="CC14:CC18" si="64">IF(ISBLANK($G14)=TRUE,"",IF(SIGN(BZ14-CB14)=SIGN($G14-$I14),1,0)+IF(BZ14=$G14,IF(CB14=$I14,2,0),0))</f>
        <v/>
      </c>
      <c r="CD14" s="3"/>
      <c r="CE14" s="1" t="s">
        <v>1</v>
      </c>
      <c r="CF14" s="5"/>
      <c r="CG14" s="9" t="str">
        <f t="shared" ref="CG14:CG18" si="65">IF(ISBLANK($G14)=TRUE,"",IF(SIGN(CD14-CF14)=SIGN($G14-$I14),1,0)+IF(CD14=$G14,IF(CF14=$I14,2,0),0))</f>
        <v/>
      </c>
      <c r="CH14" s="3"/>
      <c r="CI14" s="1" t="s">
        <v>1</v>
      </c>
      <c r="CJ14" s="5"/>
      <c r="CK14" s="9" t="str">
        <f t="shared" ref="CK14:CK18" si="66">IF(ISBLANK($G14)=TRUE,"",IF(SIGN(CH14-CJ14)=SIGN($G14-$I14),1,0)+IF(CH14=$G14,IF(CJ14=$I14,2,0),0))</f>
        <v/>
      </c>
      <c r="CL14" s="3"/>
      <c r="CM14" s="1" t="s">
        <v>1</v>
      </c>
      <c r="CN14" s="5"/>
      <c r="CO14" s="9" t="str">
        <f t="shared" ref="CO14:CO18" si="67">IF(ISBLANK($G14)=TRUE,"",IF(SIGN(CL14-CN14)=SIGN($G14-$I14),1,0)+IF(CL14=$G14,IF(CN14=$I14,2,0),0))</f>
        <v/>
      </c>
      <c r="CP14" s="3"/>
      <c r="CQ14" s="1" t="s">
        <v>1</v>
      </c>
      <c r="CR14" s="5"/>
      <c r="CS14" s="9" t="str">
        <f t="shared" ref="CS14:CS18" si="68">IF(ISBLANK($G14)=TRUE,"",IF(SIGN(CP14-CR14)=SIGN($G14-$I14),1,0)+IF(CP14=$G14,IF(CR14=$I14,2,0),0))</f>
        <v/>
      </c>
      <c r="CT14" s="3"/>
      <c r="CU14" s="1" t="s">
        <v>1</v>
      </c>
      <c r="CV14" s="5"/>
      <c r="CW14" s="9" t="str">
        <f t="shared" ref="CW14:CW18" si="69">IF(ISBLANK($G14)=TRUE,"",IF(SIGN(CT14-CV14)=SIGN($G14-$I14),1,0)+IF(CT14=$G14,IF(CV14=$I14,2,0),0))</f>
        <v/>
      </c>
      <c r="CX14" s="3"/>
      <c r="CY14" s="1" t="s">
        <v>1</v>
      </c>
      <c r="CZ14" s="5"/>
      <c r="DA14" s="9" t="str">
        <f t="shared" ref="DA14:DA18" si="70">IF(ISBLANK($G14)=TRUE,"",IF(SIGN(CX14-CZ14)=SIGN($G14-$I14),1,0)+IF(CX14=$G14,IF(CZ14=$I14,2,0),0))</f>
        <v/>
      </c>
      <c r="DB14" s="3"/>
      <c r="DC14" s="1" t="s">
        <v>1</v>
      </c>
      <c r="DD14" s="5"/>
      <c r="DE14" s="9" t="str">
        <f t="shared" ref="DE14:DE18" si="71">IF(ISBLANK($G14)=TRUE,"",IF(SIGN(DB14-DD14)=SIGN($G14-$I14),1,0)+IF(DB14=$G14,IF(DD14=$I14,2,0),0))</f>
        <v/>
      </c>
      <c r="DF14" s="3"/>
      <c r="DG14" s="1" t="s">
        <v>1</v>
      </c>
      <c r="DH14" s="5"/>
      <c r="DI14" s="9" t="str">
        <f t="shared" ref="DI14:DI18" si="72">IF(ISBLANK($G14)=TRUE,"",IF(SIGN(DF14-DH14)=SIGN($G14-$I14),1,0)+IF(DF14=$G14,IF(DH14=$I14,2,0),0))</f>
        <v/>
      </c>
    </row>
    <row r="15" spans="2:113" x14ac:dyDescent="0.3">
      <c r="B15" s="12">
        <v>46206</v>
      </c>
      <c r="C15" s="30">
        <v>0.20833333333333334</v>
      </c>
      <c r="D15" s="3"/>
      <c r="E15" s="1" t="s">
        <v>1</v>
      </c>
      <c r="F15" s="5"/>
      <c r="G15" s="3"/>
      <c r="H15" s="1" t="s">
        <v>1</v>
      </c>
      <c r="I15" s="5"/>
      <c r="J15" s="3"/>
      <c r="K15" s="1" t="s">
        <v>1</v>
      </c>
      <c r="L15" s="5"/>
      <c r="M15" s="9" t="str">
        <f t="shared" si="47"/>
        <v/>
      </c>
      <c r="N15" s="3"/>
      <c r="O15" s="1" t="s">
        <v>1</v>
      </c>
      <c r="P15" s="5"/>
      <c r="Q15" s="9" t="str">
        <f t="shared" si="48"/>
        <v/>
      </c>
      <c r="R15" s="3"/>
      <c r="S15" s="1" t="s">
        <v>1</v>
      </c>
      <c r="T15" s="5"/>
      <c r="U15" s="9" t="str">
        <f t="shared" si="49"/>
        <v/>
      </c>
      <c r="V15" s="3"/>
      <c r="W15" s="1" t="s">
        <v>1</v>
      </c>
      <c r="X15" s="5"/>
      <c r="Y15" s="9" t="str">
        <f t="shared" si="50"/>
        <v/>
      </c>
      <c r="Z15" s="3"/>
      <c r="AA15" s="1" t="s">
        <v>1</v>
      </c>
      <c r="AB15" s="5"/>
      <c r="AC15" s="9" t="str">
        <f t="shared" si="51"/>
        <v/>
      </c>
      <c r="AD15" s="3"/>
      <c r="AE15" s="1" t="s">
        <v>1</v>
      </c>
      <c r="AF15" s="5"/>
      <c r="AG15" s="9" t="str">
        <f t="shared" si="52"/>
        <v/>
      </c>
      <c r="AH15" s="3"/>
      <c r="AI15" s="1" t="s">
        <v>1</v>
      </c>
      <c r="AJ15" s="5"/>
      <c r="AK15" s="9" t="str">
        <f t="shared" si="53"/>
        <v/>
      </c>
      <c r="AL15" s="3"/>
      <c r="AM15" s="1" t="s">
        <v>1</v>
      </c>
      <c r="AN15" s="5"/>
      <c r="AO15" s="9" t="str">
        <f t="shared" si="54"/>
        <v/>
      </c>
      <c r="AP15" s="3"/>
      <c r="AQ15" s="1" t="s">
        <v>1</v>
      </c>
      <c r="AR15" s="5"/>
      <c r="AS15" s="9" t="str">
        <f t="shared" si="55"/>
        <v/>
      </c>
      <c r="AT15" s="3"/>
      <c r="AU15" s="1" t="s">
        <v>1</v>
      </c>
      <c r="AV15" s="5"/>
      <c r="AW15" s="9" t="str">
        <f t="shared" si="56"/>
        <v/>
      </c>
      <c r="AX15" s="3"/>
      <c r="AY15" s="1" t="s">
        <v>1</v>
      </c>
      <c r="AZ15" s="5"/>
      <c r="BA15" s="9" t="str">
        <f t="shared" si="57"/>
        <v/>
      </c>
      <c r="BB15" s="3"/>
      <c r="BC15" s="1" t="s">
        <v>1</v>
      </c>
      <c r="BD15" s="5"/>
      <c r="BE15" s="9" t="str">
        <f t="shared" si="58"/>
        <v/>
      </c>
      <c r="BF15" s="3"/>
      <c r="BG15" s="1" t="s">
        <v>1</v>
      </c>
      <c r="BH15" s="5"/>
      <c r="BI15" s="9" t="str">
        <f t="shared" si="59"/>
        <v/>
      </c>
      <c r="BJ15" s="3"/>
      <c r="BK15" s="1" t="s">
        <v>1</v>
      </c>
      <c r="BL15" s="5"/>
      <c r="BM15" s="9" t="str">
        <f t="shared" si="60"/>
        <v/>
      </c>
      <c r="BN15" s="3"/>
      <c r="BO15" s="1" t="s">
        <v>1</v>
      </c>
      <c r="BP15" s="5"/>
      <c r="BQ15" s="9" t="str">
        <f t="shared" si="61"/>
        <v/>
      </c>
      <c r="BR15" s="3"/>
      <c r="BS15" s="1" t="s">
        <v>1</v>
      </c>
      <c r="BT15" s="5"/>
      <c r="BU15" s="9" t="str">
        <f t="shared" si="62"/>
        <v/>
      </c>
      <c r="BV15" s="3"/>
      <c r="BW15" s="1" t="s">
        <v>1</v>
      </c>
      <c r="BX15" s="5"/>
      <c r="BY15" s="9" t="str">
        <f t="shared" si="63"/>
        <v/>
      </c>
      <c r="BZ15" s="3"/>
      <c r="CA15" s="1" t="s">
        <v>1</v>
      </c>
      <c r="CB15" s="5"/>
      <c r="CC15" s="9" t="str">
        <f t="shared" si="64"/>
        <v/>
      </c>
      <c r="CD15" s="3"/>
      <c r="CE15" s="1" t="s">
        <v>1</v>
      </c>
      <c r="CF15" s="5"/>
      <c r="CG15" s="9" t="str">
        <f t="shared" si="65"/>
        <v/>
      </c>
      <c r="CH15" s="3"/>
      <c r="CI15" s="1" t="s">
        <v>1</v>
      </c>
      <c r="CJ15" s="5"/>
      <c r="CK15" s="9" t="str">
        <f t="shared" si="66"/>
        <v/>
      </c>
      <c r="CL15" s="3"/>
      <c r="CM15" s="1" t="s">
        <v>1</v>
      </c>
      <c r="CN15" s="5"/>
      <c r="CO15" s="9" t="str">
        <f t="shared" si="67"/>
        <v/>
      </c>
      <c r="CP15" s="3"/>
      <c r="CQ15" s="1" t="s">
        <v>1</v>
      </c>
      <c r="CR15" s="5"/>
      <c r="CS15" s="9" t="str">
        <f t="shared" si="68"/>
        <v/>
      </c>
      <c r="CT15" s="3"/>
      <c r="CU15" s="1" t="s">
        <v>1</v>
      </c>
      <c r="CV15" s="5"/>
      <c r="CW15" s="9" t="str">
        <f t="shared" si="69"/>
        <v/>
      </c>
      <c r="CX15" s="3"/>
      <c r="CY15" s="1" t="s">
        <v>1</v>
      </c>
      <c r="CZ15" s="5"/>
      <c r="DA15" s="9" t="str">
        <f t="shared" si="70"/>
        <v/>
      </c>
      <c r="DB15" s="3"/>
      <c r="DC15" s="1" t="s">
        <v>1</v>
      </c>
      <c r="DD15" s="5"/>
      <c r="DE15" s="9" t="str">
        <f t="shared" si="71"/>
        <v/>
      </c>
      <c r="DF15" s="3"/>
      <c r="DG15" s="1" t="s">
        <v>1</v>
      </c>
      <c r="DH15" s="5"/>
      <c r="DI15" s="9" t="str">
        <f t="shared" si="72"/>
        <v/>
      </c>
    </row>
    <row r="16" spans="2:113" x14ac:dyDescent="0.3">
      <c r="B16" s="12">
        <v>46206</v>
      </c>
      <c r="C16" s="30">
        <v>0.83333333333333337</v>
      </c>
      <c r="D16" s="3"/>
      <c r="E16" s="1" t="s">
        <v>1</v>
      </c>
      <c r="F16" s="5"/>
      <c r="G16" s="3"/>
      <c r="H16" s="1" t="s">
        <v>1</v>
      </c>
      <c r="I16" s="5"/>
      <c r="J16" s="3"/>
      <c r="K16" s="1" t="s">
        <v>1</v>
      </c>
      <c r="L16" s="5"/>
      <c r="M16" s="9" t="str">
        <f t="shared" si="47"/>
        <v/>
      </c>
      <c r="N16" s="3"/>
      <c r="O16" s="1" t="s">
        <v>1</v>
      </c>
      <c r="P16" s="5"/>
      <c r="Q16" s="9" t="str">
        <f t="shared" si="48"/>
        <v/>
      </c>
      <c r="R16" s="3"/>
      <c r="S16" s="1" t="s">
        <v>1</v>
      </c>
      <c r="T16" s="5"/>
      <c r="U16" s="9" t="str">
        <f t="shared" si="49"/>
        <v/>
      </c>
      <c r="V16" s="3"/>
      <c r="W16" s="1" t="s">
        <v>1</v>
      </c>
      <c r="X16" s="5"/>
      <c r="Y16" s="9" t="str">
        <f t="shared" si="50"/>
        <v/>
      </c>
      <c r="Z16" s="3"/>
      <c r="AA16" s="1" t="s">
        <v>1</v>
      </c>
      <c r="AB16" s="5"/>
      <c r="AC16" s="9" t="str">
        <f t="shared" si="51"/>
        <v/>
      </c>
      <c r="AD16" s="3"/>
      <c r="AE16" s="1" t="s">
        <v>1</v>
      </c>
      <c r="AF16" s="5"/>
      <c r="AG16" s="9" t="str">
        <f t="shared" si="52"/>
        <v/>
      </c>
      <c r="AH16" s="3"/>
      <c r="AI16" s="1" t="s">
        <v>1</v>
      </c>
      <c r="AJ16" s="5"/>
      <c r="AK16" s="9" t="str">
        <f t="shared" si="53"/>
        <v/>
      </c>
      <c r="AL16" s="3"/>
      <c r="AM16" s="1" t="s">
        <v>1</v>
      </c>
      <c r="AN16" s="5"/>
      <c r="AO16" s="9" t="str">
        <f t="shared" si="54"/>
        <v/>
      </c>
      <c r="AP16" s="3"/>
      <c r="AQ16" s="1" t="s">
        <v>1</v>
      </c>
      <c r="AR16" s="5"/>
      <c r="AS16" s="9" t="str">
        <f t="shared" si="55"/>
        <v/>
      </c>
      <c r="AT16" s="3"/>
      <c r="AU16" s="1" t="s">
        <v>1</v>
      </c>
      <c r="AV16" s="5"/>
      <c r="AW16" s="9" t="str">
        <f t="shared" si="56"/>
        <v/>
      </c>
      <c r="AX16" s="3"/>
      <c r="AY16" s="1" t="s">
        <v>1</v>
      </c>
      <c r="AZ16" s="5"/>
      <c r="BA16" s="9" t="str">
        <f t="shared" si="57"/>
        <v/>
      </c>
      <c r="BB16" s="3"/>
      <c r="BC16" s="1" t="s">
        <v>1</v>
      </c>
      <c r="BD16" s="5"/>
      <c r="BE16" s="9" t="str">
        <f t="shared" si="58"/>
        <v/>
      </c>
      <c r="BF16" s="3"/>
      <c r="BG16" s="1" t="s">
        <v>1</v>
      </c>
      <c r="BH16" s="5"/>
      <c r="BI16" s="9" t="str">
        <f t="shared" si="59"/>
        <v/>
      </c>
      <c r="BJ16" s="3"/>
      <c r="BK16" s="1" t="s">
        <v>1</v>
      </c>
      <c r="BL16" s="5"/>
      <c r="BM16" s="9" t="str">
        <f t="shared" si="60"/>
        <v/>
      </c>
      <c r="BN16" s="3"/>
      <c r="BO16" s="1" t="s">
        <v>1</v>
      </c>
      <c r="BP16" s="5"/>
      <c r="BQ16" s="9" t="str">
        <f t="shared" si="61"/>
        <v/>
      </c>
      <c r="BR16" s="3"/>
      <c r="BS16" s="1" t="s">
        <v>1</v>
      </c>
      <c r="BT16" s="5"/>
      <c r="BU16" s="9" t="str">
        <f t="shared" si="62"/>
        <v/>
      </c>
      <c r="BV16" s="3"/>
      <c r="BW16" s="1" t="s">
        <v>1</v>
      </c>
      <c r="BX16" s="5"/>
      <c r="BY16" s="9" t="str">
        <f t="shared" si="63"/>
        <v/>
      </c>
      <c r="BZ16" s="3"/>
      <c r="CA16" s="1" t="s">
        <v>1</v>
      </c>
      <c r="CB16" s="5"/>
      <c r="CC16" s="9" t="str">
        <f t="shared" si="64"/>
        <v/>
      </c>
      <c r="CD16" s="3"/>
      <c r="CE16" s="1" t="s">
        <v>1</v>
      </c>
      <c r="CF16" s="5"/>
      <c r="CG16" s="9" t="str">
        <f t="shared" si="65"/>
        <v/>
      </c>
      <c r="CH16" s="3"/>
      <c r="CI16" s="1" t="s">
        <v>1</v>
      </c>
      <c r="CJ16" s="5"/>
      <c r="CK16" s="9" t="str">
        <f t="shared" si="66"/>
        <v/>
      </c>
      <c r="CL16" s="3"/>
      <c r="CM16" s="1" t="s">
        <v>1</v>
      </c>
      <c r="CN16" s="5"/>
      <c r="CO16" s="9" t="str">
        <f t="shared" si="67"/>
        <v/>
      </c>
      <c r="CP16" s="3"/>
      <c r="CQ16" s="1" t="s">
        <v>1</v>
      </c>
      <c r="CR16" s="5"/>
      <c r="CS16" s="9" t="str">
        <f t="shared" si="68"/>
        <v/>
      </c>
      <c r="CT16" s="3"/>
      <c r="CU16" s="1" t="s">
        <v>1</v>
      </c>
      <c r="CV16" s="5"/>
      <c r="CW16" s="9" t="str">
        <f t="shared" si="69"/>
        <v/>
      </c>
      <c r="CX16" s="3"/>
      <c r="CY16" s="1" t="s">
        <v>1</v>
      </c>
      <c r="CZ16" s="5"/>
      <c r="DA16" s="9" t="str">
        <f t="shared" si="70"/>
        <v/>
      </c>
      <c r="DB16" s="3"/>
      <c r="DC16" s="1" t="s">
        <v>1</v>
      </c>
      <c r="DD16" s="5"/>
      <c r="DE16" s="9" t="str">
        <f t="shared" si="71"/>
        <v/>
      </c>
      <c r="DF16" s="3"/>
      <c r="DG16" s="1" t="s">
        <v>1</v>
      </c>
      <c r="DH16" s="5"/>
      <c r="DI16" s="9" t="str">
        <f t="shared" si="72"/>
        <v/>
      </c>
    </row>
    <row r="17" spans="2:113" x14ac:dyDescent="0.3">
      <c r="B17" s="12">
        <v>46207</v>
      </c>
      <c r="C17" s="30">
        <v>0</v>
      </c>
      <c r="D17" s="3"/>
      <c r="E17" s="1" t="s">
        <v>1</v>
      </c>
      <c r="F17" s="5"/>
      <c r="G17" s="3"/>
      <c r="H17" s="1" t="s">
        <v>1</v>
      </c>
      <c r="I17" s="5"/>
      <c r="J17" s="3"/>
      <c r="K17" s="1" t="s">
        <v>1</v>
      </c>
      <c r="L17" s="5"/>
      <c r="M17" s="9" t="str">
        <f t="shared" si="47"/>
        <v/>
      </c>
      <c r="N17" s="3"/>
      <c r="O17" s="1" t="s">
        <v>1</v>
      </c>
      <c r="P17" s="5"/>
      <c r="Q17" s="9" t="str">
        <f t="shared" si="48"/>
        <v/>
      </c>
      <c r="R17" s="3"/>
      <c r="S17" s="1" t="s">
        <v>1</v>
      </c>
      <c r="T17" s="5"/>
      <c r="U17" s="9" t="str">
        <f t="shared" si="49"/>
        <v/>
      </c>
      <c r="V17" s="3"/>
      <c r="W17" s="1" t="s">
        <v>1</v>
      </c>
      <c r="X17" s="5"/>
      <c r="Y17" s="9" t="str">
        <f t="shared" si="50"/>
        <v/>
      </c>
      <c r="Z17" s="3"/>
      <c r="AA17" s="1" t="s">
        <v>1</v>
      </c>
      <c r="AB17" s="5"/>
      <c r="AC17" s="9" t="str">
        <f t="shared" si="51"/>
        <v/>
      </c>
      <c r="AD17" s="3"/>
      <c r="AE17" s="1" t="s">
        <v>1</v>
      </c>
      <c r="AF17" s="5"/>
      <c r="AG17" s="9" t="str">
        <f t="shared" si="52"/>
        <v/>
      </c>
      <c r="AH17" s="3"/>
      <c r="AI17" s="1" t="s">
        <v>1</v>
      </c>
      <c r="AJ17" s="5"/>
      <c r="AK17" s="9" t="str">
        <f t="shared" si="53"/>
        <v/>
      </c>
      <c r="AL17" s="3"/>
      <c r="AM17" s="1" t="s">
        <v>1</v>
      </c>
      <c r="AN17" s="5"/>
      <c r="AO17" s="9" t="str">
        <f t="shared" si="54"/>
        <v/>
      </c>
      <c r="AP17" s="3"/>
      <c r="AQ17" s="1" t="s">
        <v>1</v>
      </c>
      <c r="AR17" s="5"/>
      <c r="AS17" s="9" t="str">
        <f t="shared" si="55"/>
        <v/>
      </c>
      <c r="AT17" s="3"/>
      <c r="AU17" s="1" t="s">
        <v>1</v>
      </c>
      <c r="AV17" s="5"/>
      <c r="AW17" s="9" t="str">
        <f t="shared" si="56"/>
        <v/>
      </c>
      <c r="AX17" s="3"/>
      <c r="AY17" s="1" t="s">
        <v>1</v>
      </c>
      <c r="AZ17" s="5"/>
      <c r="BA17" s="9" t="str">
        <f t="shared" si="57"/>
        <v/>
      </c>
      <c r="BB17" s="3"/>
      <c r="BC17" s="1" t="s">
        <v>1</v>
      </c>
      <c r="BD17" s="5"/>
      <c r="BE17" s="9" t="str">
        <f t="shared" si="58"/>
        <v/>
      </c>
      <c r="BF17" s="3"/>
      <c r="BG17" s="1" t="s">
        <v>1</v>
      </c>
      <c r="BH17" s="5"/>
      <c r="BI17" s="9" t="str">
        <f t="shared" si="59"/>
        <v/>
      </c>
      <c r="BJ17" s="3"/>
      <c r="BK17" s="1" t="s">
        <v>1</v>
      </c>
      <c r="BL17" s="5"/>
      <c r="BM17" s="9" t="str">
        <f t="shared" si="60"/>
        <v/>
      </c>
      <c r="BN17" s="3"/>
      <c r="BO17" s="1" t="s">
        <v>1</v>
      </c>
      <c r="BP17" s="5"/>
      <c r="BQ17" s="9" t="str">
        <f t="shared" si="61"/>
        <v/>
      </c>
      <c r="BR17" s="3"/>
      <c r="BS17" s="1" t="s">
        <v>1</v>
      </c>
      <c r="BT17" s="5"/>
      <c r="BU17" s="9" t="str">
        <f t="shared" si="62"/>
        <v/>
      </c>
      <c r="BV17" s="3"/>
      <c r="BW17" s="1" t="s">
        <v>1</v>
      </c>
      <c r="BX17" s="5"/>
      <c r="BY17" s="9" t="str">
        <f t="shared" si="63"/>
        <v/>
      </c>
      <c r="BZ17" s="3"/>
      <c r="CA17" s="1" t="s">
        <v>1</v>
      </c>
      <c r="CB17" s="5"/>
      <c r="CC17" s="9" t="str">
        <f t="shared" si="64"/>
        <v/>
      </c>
      <c r="CD17" s="3"/>
      <c r="CE17" s="1" t="s">
        <v>1</v>
      </c>
      <c r="CF17" s="5"/>
      <c r="CG17" s="9" t="str">
        <f t="shared" si="65"/>
        <v/>
      </c>
      <c r="CH17" s="3"/>
      <c r="CI17" s="1" t="s">
        <v>1</v>
      </c>
      <c r="CJ17" s="5"/>
      <c r="CK17" s="9" t="str">
        <f t="shared" si="66"/>
        <v/>
      </c>
      <c r="CL17" s="3"/>
      <c r="CM17" s="1" t="s">
        <v>1</v>
      </c>
      <c r="CN17" s="5"/>
      <c r="CO17" s="9" t="str">
        <f t="shared" si="67"/>
        <v/>
      </c>
      <c r="CP17" s="3"/>
      <c r="CQ17" s="1" t="s">
        <v>1</v>
      </c>
      <c r="CR17" s="5"/>
      <c r="CS17" s="9" t="str">
        <f t="shared" si="68"/>
        <v/>
      </c>
      <c r="CT17" s="3"/>
      <c r="CU17" s="1" t="s">
        <v>1</v>
      </c>
      <c r="CV17" s="5"/>
      <c r="CW17" s="9" t="str">
        <f t="shared" si="69"/>
        <v/>
      </c>
      <c r="CX17" s="3"/>
      <c r="CY17" s="1" t="s">
        <v>1</v>
      </c>
      <c r="CZ17" s="5"/>
      <c r="DA17" s="9" t="str">
        <f t="shared" si="70"/>
        <v/>
      </c>
      <c r="DB17" s="3"/>
      <c r="DC17" s="1" t="s">
        <v>1</v>
      </c>
      <c r="DD17" s="5"/>
      <c r="DE17" s="9" t="str">
        <f t="shared" si="71"/>
        <v/>
      </c>
      <c r="DF17" s="3"/>
      <c r="DG17" s="1" t="s">
        <v>1</v>
      </c>
      <c r="DH17" s="5"/>
      <c r="DI17" s="9" t="str">
        <f t="shared" si="72"/>
        <v/>
      </c>
    </row>
    <row r="18" spans="2:113" ht="15" thickBot="1" x14ac:dyDescent="0.35">
      <c r="B18" s="13">
        <v>46207</v>
      </c>
      <c r="C18" s="31">
        <v>0.14583333333333334</v>
      </c>
      <c r="D18" s="4"/>
      <c r="E18" s="2" t="s">
        <v>1</v>
      </c>
      <c r="F18" s="6"/>
      <c r="G18" s="4"/>
      <c r="H18" s="2" t="s">
        <v>1</v>
      </c>
      <c r="I18" s="6"/>
      <c r="J18" s="4"/>
      <c r="K18" s="2" t="s">
        <v>1</v>
      </c>
      <c r="L18" s="6"/>
      <c r="M18" s="10" t="str">
        <f t="shared" si="47"/>
        <v/>
      </c>
      <c r="N18" s="4"/>
      <c r="O18" s="2" t="s">
        <v>1</v>
      </c>
      <c r="P18" s="6"/>
      <c r="Q18" s="10" t="str">
        <f t="shared" si="48"/>
        <v/>
      </c>
      <c r="R18" s="4"/>
      <c r="S18" s="2" t="s">
        <v>1</v>
      </c>
      <c r="T18" s="6"/>
      <c r="U18" s="10" t="str">
        <f t="shared" si="49"/>
        <v/>
      </c>
      <c r="V18" s="4"/>
      <c r="W18" s="2" t="s">
        <v>1</v>
      </c>
      <c r="X18" s="6"/>
      <c r="Y18" s="10" t="str">
        <f t="shared" si="50"/>
        <v/>
      </c>
      <c r="Z18" s="4"/>
      <c r="AA18" s="2" t="s">
        <v>1</v>
      </c>
      <c r="AB18" s="6"/>
      <c r="AC18" s="10" t="str">
        <f t="shared" si="51"/>
        <v/>
      </c>
      <c r="AD18" s="4"/>
      <c r="AE18" s="2" t="s">
        <v>1</v>
      </c>
      <c r="AF18" s="6"/>
      <c r="AG18" s="10" t="str">
        <f t="shared" si="52"/>
        <v/>
      </c>
      <c r="AH18" s="4"/>
      <c r="AI18" s="2" t="s">
        <v>1</v>
      </c>
      <c r="AJ18" s="6"/>
      <c r="AK18" s="10" t="str">
        <f t="shared" si="53"/>
        <v/>
      </c>
      <c r="AL18" s="4"/>
      <c r="AM18" s="2" t="s">
        <v>1</v>
      </c>
      <c r="AN18" s="6"/>
      <c r="AO18" s="10" t="str">
        <f t="shared" si="54"/>
        <v/>
      </c>
      <c r="AP18" s="4"/>
      <c r="AQ18" s="2" t="s">
        <v>1</v>
      </c>
      <c r="AR18" s="6"/>
      <c r="AS18" s="10" t="str">
        <f t="shared" si="55"/>
        <v/>
      </c>
      <c r="AT18" s="4"/>
      <c r="AU18" s="2" t="s">
        <v>1</v>
      </c>
      <c r="AV18" s="6"/>
      <c r="AW18" s="10" t="str">
        <f t="shared" si="56"/>
        <v/>
      </c>
      <c r="AX18" s="4"/>
      <c r="AY18" s="2" t="s">
        <v>1</v>
      </c>
      <c r="AZ18" s="6"/>
      <c r="BA18" s="10" t="str">
        <f t="shared" si="57"/>
        <v/>
      </c>
      <c r="BB18" s="4"/>
      <c r="BC18" s="2" t="s">
        <v>1</v>
      </c>
      <c r="BD18" s="6"/>
      <c r="BE18" s="10" t="str">
        <f t="shared" si="58"/>
        <v/>
      </c>
      <c r="BF18" s="4"/>
      <c r="BG18" s="2" t="s">
        <v>1</v>
      </c>
      <c r="BH18" s="6"/>
      <c r="BI18" s="10" t="str">
        <f t="shared" si="59"/>
        <v/>
      </c>
      <c r="BJ18" s="4"/>
      <c r="BK18" s="2" t="s">
        <v>1</v>
      </c>
      <c r="BL18" s="6"/>
      <c r="BM18" s="10" t="str">
        <f t="shared" si="60"/>
        <v/>
      </c>
      <c r="BN18" s="4"/>
      <c r="BO18" s="2" t="s">
        <v>1</v>
      </c>
      <c r="BP18" s="6"/>
      <c r="BQ18" s="10" t="str">
        <f t="shared" si="61"/>
        <v/>
      </c>
      <c r="BR18" s="4"/>
      <c r="BS18" s="2" t="s">
        <v>1</v>
      </c>
      <c r="BT18" s="6"/>
      <c r="BU18" s="10" t="str">
        <f t="shared" si="62"/>
        <v/>
      </c>
      <c r="BV18" s="4"/>
      <c r="BW18" s="2" t="s">
        <v>1</v>
      </c>
      <c r="BX18" s="6"/>
      <c r="BY18" s="10" t="str">
        <f t="shared" si="63"/>
        <v/>
      </c>
      <c r="BZ18" s="4"/>
      <c r="CA18" s="2" t="s">
        <v>1</v>
      </c>
      <c r="CB18" s="6"/>
      <c r="CC18" s="10" t="str">
        <f t="shared" si="64"/>
        <v/>
      </c>
      <c r="CD18" s="4"/>
      <c r="CE18" s="2" t="s">
        <v>1</v>
      </c>
      <c r="CF18" s="6"/>
      <c r="CG18" s="10" t="str">
        <f t="shared" si="65"/>
        <v/>
      </c>
      <c r="CH18" s="4"/>
      <c r="CI18" s="2" t="s">
        <v>1</v>
      </c>
      <c r="CJ18" s="6"/>
      <c r="CK18" s="10" t="str">
        <f t="shared" si="66"/>
        <v/>
      </c>
      <c r="CL18" s="4"/>
      <c r="CM18" s="2" t="s">
        <v>1</v>
      </c>
      <c r="CN18" s="6"/>
      <c r="CO18" s="10" t="str">
        <f t="shared" si="67"/>
        <v/>
      </c>
      <c r="CP18" s="4"/>
      <c r="CQ18" s="2" t="s">
        <v>1</v>
      </c>
      <c r="CR18" s="6"/>
      <c r="CS18" s="10" t="str">
        <f t="shared" si="68"/>
        <v/>
      </c>
      <c r="CT18" s="4"/>
      <c r="CU18" s="2" t="s">
        <v>1</v>
      </c>
      <c r="CV18" s="6"/>
      <c r="CW18" s="10" t="str">
        <f t="shared" si="69"/>
        <v/>
      </c>
      <c r="CX18" s="4"/>
      <c r="CY18" s="2" t="s">
        <v>1</v>
      </c>
      <c r="CZ18" s="6"/>
      <c r="DA18" s="10" t="str">
        <f t="shared" si="70"/>
        <v/>
      </c>
      <c r="DB18" s="4"/>
      <c r="DC18" s="2" t="s">
        <v>1</v>
      </c>
      <c r="DD18" s="6"/>
      <c r="DE18" s="10" t="str">
        <f t="shared" si="71"/>
        <v/>
      </c>
      <c r="DF18" s="4"/>
      <c r="DG18" s="2" t="s">
        <v>1</v>
      </c>
      <c r="DH18" s="6"/>
      <c r="DI18" s="10" t="str">
        <f t="shared" si="72"/>
        <v/>
      </c>
    </row>
    <row r="19" spans="2:113" ht="15" thickBot="1" x14ac:dyDescent="0.35">
      <c r="B19" s="56" t="s">
        <v>77</v>
      </c>
      <c r="C19" s="57" t="s">
        <v>78</v>
      </c>
      <c r="D19" s="232" t="s">
        <v>118</v>
      </c>
      <c r="E19" s="233"/>
      <c r="F19" s="234"/>
      <c r="G19" s="53" t="s">
        <v>7</v>
      </c>
      <c r="H19" s="54"/>
      <c r="I19" s="55"/>
      <c r="J19" s="61"/>
      <c r="K19" s="62"/>
      <c r="L19" s="62"/>
      <c r="M19" s="63"/>
      <c r="N19" s="64"/>
      <c r="O19" s="65"/>
      <c r="P19" s="65"/>
      <c r="Q19" s="66"/>
      <c r="R19" s="67"/>
      <c r="S19" s="68"/>
      <c r="T19" s="68"/>
      <c r="U19" s="69"/>
      <c r="V19" s="109"/>
      <c r="W19" s="110"/>
      <c r="X19" s="110"/>
      <c r="Y19" s="111"/>
      <c r="Z19" s="70"/>
      <c r="AA19" s="71"/>
      <c r="AB19" s="71"/>
      <c r="AC19" s="72"/>
      <c r="AD19" s="73"/>
      <c r="AE19" s="74"/>
      <c r="AF19" s="74"/>
      <c r="AG19" s="75"/>
      <c r="AH19" s="76"/>
      <c r="AI19" s="77"/>
      <c r="AJ19" s="77"/>
      <c r="AK19" s="78"/>
      <c r="AL19" s="79"/>
      <c r="AM19" s="80"/>
      <c r="AN19" s="80"/>
      <c r="AO19" s="81"/>
      <c r="AP19" s="41"/>
      <c r="AQ19" s="42"/>
      <c r="AR19" s="42"/>
      <c r="AS19" s="43"/>
      <c r="AT19" s="82"/>
      <c r="AU19" s="83"/>
      <c r="AV19" s="83"/>
      <c r="AW19" s="84"/>
      <c r="AX19" s="85"/>
      <c r="AY19" s="86"/>
      <c r="AZ19" s="86"/>
      <c r="BA19" s="87"/>
      <c r="BB19" s="88"/>
      <c r="BC19" s="89"/>
      <c r="BD19" s="89"/>
      <c r="BE19" s="90"/>
      <c r="BF19" s="91"/>
      <c r="BG19" s="92"/>
      <c r="BH19" s="92"/>
      <c r="BI19" s="93"/>
      <c r="BJ19" s="94"/>
      <c r="BK19" s="95"/>
      <c r="BL19" s="95"/>
      <c r="BM19" s="96"/>
      <c r="BN19" s="34"/>
      <c r="BO19" s="36"/>
      <c r="BP19" s="36"/>
      <c r="BQ19" s="35"/>
      <c r="BR19" s="79"/>
      <c r="BS19" s="80"/>
      <c r="BT19" s="80"/>
      <c r="BU19" s="81"/>
      <c r="BV19" s="97"/>
      <c r="BW19" s="98"/>
      <c r="BX19" s="98"/>
      <c r="BY19" s="99"/>
      <c r="BZ19" s="41"/>
      <c r="CA19" s="42"/>
      <c r="CB19" s="42"/>
      <c r="CC19" s="43"/>
      <c r="CD19" s="100"/>
      <c r="CE19" s="101"/>
      <c r="CF19" s="101"/>
      <c r="CG19" s="102"/>
      <c r="CH19" s="103"/>
      <c r="CI19" s="104"/>
      <c r="CJ19" s="104"/>
      <c r="CK19" s="105"/>
      <c r="CL19" s="109"/>
      <c r="CM19" s="110"/>
      <c r="CN19" s="110"/>
      <c r="CO19" s="111"/>
      <c r="CP19" s="140"/>
      <c r="CQ19" s="141"/>
      <c r="CR19" s="141"/>
      <c r="CS19" s="142"/>
      <c r="CT19" s="85"/>
      <c r="CU19" s="86"/>
      <c r="CV19" s="86"/>
      <c r="CW19" s="87"/>
      <c r="CX19" s="133"/>
      <c r="CY19" s="134"/>
      <c r="CZ19" s="134"/>
      <c r="DA19" s="135"/>
      <c r="DB19" s="144"/>
      <c r="DC19" s="145"/>
      <c r="DD19" s="145"/>
      <c r="DE19" s="146"/>
      <c r="DF19" s="153"/>
      <c r="DG19" s="151"/>
      <c r="DH19" s="151"/>
      <c r="DI19" s="152"/>
    </row>
    <row r="20" spans="2:113" x14ac:dyDescent="0.3">
      <c r="B20" s="25">
        <v>46207</v>
      </c>
      <c r="C20" s="32">
        <v>0.79166666666666663</v>
      </c>
      <c r="D20" s="27"/>
      <c r="E20" s="28" t="s">
        <v>1</v>
      </c>
      <c r="F20" s="29"/>
      <c r="G20" s="27"/>
      <c r="H20" s="28" t="s">
        <v>1</v>
      </c>
      <c r="I20" s="29"/>
      <c r="J20" s="27"/>
      <c r="K20" s="28" t="s">
        <v>1</v>
      </c>
      <c r="L20" s="29"/>
      <c r="M20" s="11" t="str">
        <f>IF(ISBLANK($I20)=TRUE,"",IF(SIGN(J20-L20)=SIGN($G20-$I20),1,0)+IF(J20=$G20,IF(L20=$I20,2,0),0))</f>
        <v/>
      </c>
      <c r="N20" s="27"/>
      <c r="O20" s="28" t="s">
        <v>1</v>
      </c>
      <c r="P20" s="29"/>
      <c r="Q20" s="11" t="str">
        <f>IF(ISBLANK($I20)=TRUE,"",IF(SIGN(N20-P20)=SIGN($G20-$I20),1,0)+IF(N20=$G20,IF(P20=$I20,2,0),0))</f>
        <v/>
      </c>
      <c r="R20" s="27"/>
      <c r="S20" s="28" t="s">
        <v>1</v>
      </c>
      <c r="T20" s="29"/>
      <c r="U20" s="11" t="str">
        <f>IF(ISBLANK($I20)=TRUE,"",IF(SIGN(R20-T20)=SIGN($G20-$I20),1,0)+IF(R20=$G20,IF(T20=$I20,2,0),0))</f>
        <v/>
      </c>
      <c r="V20" s="27"/>
      <c r="W20" s="28" t="s">
        <v>1</v>
      </c>
      <c r="X20" s="29"/>
      <c r="Y20" s="11" t="str">
        <f>IF(ISBLANK($I20)=TRUE,"",IF(SIGN(V20-X20)=SIGN($G20-$I20),1,0)+IF(V20=$G20,IF(X20=$I20,2,0),0))</f>
        <v/>
      </c>
      <c r="Z20" s="27"/>
      <c r="AA20" s="28" t="s">
        <v>1</v>
      </c>
      <c r="AB20" s="29"/>
      <c r="AC20" s="11" t="str">
        <f>IF(ISBLANK($I20)=TRUE,"",IF(SIGN(Z20-AB20)=SIGN($G20-$I20),1,0)+IF(Z20=$G20,IF(AB20=$I20,2,0),0))</f>
        <v/>
      </c>
      <c r="AD20" s="27"/>
      <c r="AE20" s="28" t="s">
        <v>1</v>
      </c>
      <c r="AF20" s="29"/>
      <c r="AG20" s="11" t="str">
        <f>IF(ISBLANK($I20)=TRUE,"",IF(SIGN(AD20-AF20)=SIGN($G20-$I20),1,0)+IF(AD20=$G20,IF(AF20=$I20,2,0),0))</f>
        <v/>
      </c>
      <c r="AH20" s="27"/>
      <c r="AI20" s="28" t="s">
        <v>1</v>
      </c>
      <c r="AJ20" s="29"/>
      <c r="AK20" s="11" t="str">
        <f>IF(ISBLANK($I20)=TRUE,"",IF(SIGN(AH20-AJ20)=SIGN($G20-$I20),1,0)+IF(AH20=$G20,IF(AJ20=$I20,2,0),0))</f>
        <v/>
      </c>
      <c r="AL20" s="27"/>
      <c r="AM20" s="28" t="s">
        <v>1</v>
      </c>
      <c r="AN20" s="29"/>
      <c r="AO20" s="11" t="str">
        <f>IF(ISBLANK($I20)=TRUE,"",IF(SIGN(AL20-AN20)=SIGN($G20-$I20),1,0)+IF(AL20=$G20,IF(AN20=$I20,2,0),0))</f>
        <v/>
      </c>
      <c r="AP20" s="27"/>
      <c r="AQ20" s="28" t="s">
        <v>1</v>
      </c>
      <c r="AR20" s="29"/>
      <c r="AS20" s="11" t="str">
        <f>IF(ISBLANK($I20)=TRUE,"",IF(SIGN(AP20-AR20)=SIGN($G20-$I20),1,0)+IF(AP20=$G20,IF(AR20=$I20,2,0),0))</f>
        <v/>
      </c>
      <c r="AT20" s="27"/>
      <c r="AU20" s="28" t="s">
        <v>1</v>
      </c>
      <c r="AV20" s="29"/>
      <c r="AW20" s="11" t="str">
        <f>IF(ISBLANK($I20)=TRUE,"",IF(SIGN(AT20-AV20)=SIGN($G20-$I20),1,0)+IF(AT20=$G20,IF(AV20=$I20,2,0),0))</f>
        <v/>
      </c>
      <c r="AX20" s="27"/>
      <c r="AY20" s="28" t="s">
        <v>1</v>
      </c>
      <c r="AZ20" s="29"/>
      <c r="BA20" s="11" t="str">
        <f>IF(ISBLANK($I20)=TRUE,"",IF(SIGN(AX20-AZ20)=SIGN($G20-$I20),1,0)+IF(AX20=$G20,IF(AZ20=$I20,2,0),0))</f>
        <v/>
      </c>
      <c r="BB20" s="27"/>
      <c r="BC20" s="28" t="s">
        <v>1</v>
      </c>
      <c r="BD20" s="29"/>
      <c r="BE20" s="11" t="str">
        <f>IF(ISBLANK($I20)=TRUE,"",IF(SIGN(BB20-BD20)=SIGN($G20-$I20),1,0)+IF(BB20=$G20,IF(BD20=$I20,2,0),0))</f>
        <v/>
      </c>
      <c r="BF20" s="27"/>
      <c r="BG20" s="28" t="s">
        <v>1</v>
      </c>
      <c r="BH20" s="29"/>
      <c r="BI20" s="11" t="str">
        <f>IF(ISBLANK($I20)=TRUE,"",IF(SIGN(BF20-BH20)=SIGN($G20-$I20),1,0)+IF(BF20=$G20,IF(BH20=$I20,2,0),0))</f>
        <v/>
      </c>
      <c r="BJ20" s="27"/>
      <c r="BK20" s="28" t="s">
        <v>1</v>
      </c>
      <c r="BL20" s="29"/>
      <c r="BM20" s="11" t="str">
        <f>IF(ISBLANK($I20)=TRUE,"",IF(SIGN(BJ20-BL20)=SIGN($G20-$I20),1,0)+IF(BJ20=$G20,IF(BL20=$I20,2,0),0))</f>
        <v/>
      </c>
      <c r="BN20" s="27"/>
      <c r="BO20" s="28" t="s">
        <v>1</v>
      </c>
      <c r="BP20" s="29"/>
      <c r="BQ20" s="11" t="str">
        <f>IF(ISBLANK($I20)=TRUE,"",IF(SIGN(BN20-BP20)=SIGN($G20-$I20),1,0)+IF(BN20=$G20,IF(BP20=$I20,2,0),0))</f>
        <v/>
      </c>
      <c r="BR20" s="27"/>
      <c r="BS20" s="28" t="s">
        <v>1</v>
      </c>
      <c r="BT20" s="29"/>
      <c r="BU20" s="11" t="str">
        <f>IF(ISBLANK($I20)=TRUE,"",IF(SIGN(BR20-BT20)=SIGN($G20-$I20),1,0)+IF(BR20=$G20,IF(BT20=$I20,2,0),0))</f>
        <v/>
      </c>
      <c r="BV20" s="27"/>
      <c r="BW20" s="28" t="s">
        <v>1</v>
      </c>
      <c r="BX20" s="29"/>
      <c r="BY20" s="11" t="str">
        <f>IF(ISBLANK($I20)=TRUE,"",IF(SIGN(BV20-BX20)=SIGN($G20-$I20),1,0)+IF(BV20=$G20,IF(BX20=$I20,2,0),0))</f>
        <v/>
      </c>
      <c r="BZ20" s="27"/>
      <c r="CA20" s="28" t="s">
        <v>1</v>
      </c>
      <c r="CB20" s="29"/>
      <c r="CC20" s="11" t="str">
        <f>IF(ISBLANK($I20)=TRUE,"",IF(SIGN(BZ20-CB20)=SIGN($G20-$I20),1,0)+IF(BZ20=$G20,IF(CB20=$I20,2,0),0))</f>
        <v/>
      </c>
      <c r="CD20" s="27"/>
      <c r="CE20" s="28" t="s">
        <v>1</v>
      </c>
      <c r="CF20" s="29"/>
      <c r="CG20" s="11" t="str">
        <f>IF(ISBLANK($I20)=TRUE,"",IF(SIGN(CD20-CF20)=SIGN($G20-$I20),1,0)+IF(CD20=$G20,IF(CF20=$I20,2,0),0))</f>
        <v/>
      </c>
      <c r="CH20" s="27"/>
      <c r="CI20" s="28" t="s">
        <v>1</v>
      </c>
      <c r="CJ20" s="29"/>
      <c r="CK20" s="11" t="str">
        <f>IF(ISBLANK($I20)=TRUE,"",IF(SIGN(CH20-CJ20)=SIGN($G20-$I20),1,0)+IF(CH20=$G20,IF(CJ20=$I20,2,0),0))</f>
        <v/>
      </c>
      <c r="CL20" s="27"/>
      <c r="CM20" s="28" t="s">
        <v>1</v>
      </c>
      <c r="CN20" s="29"/>
      <c r="CO20" s="11" t="str">
        <f>IF(ISBLANK($I20)=TRUE,"",IF(SIGN(CL20-CN20)=SIGN($G20-$I20),1,0)+IF(CL20=$G20,IF(CN20=$I20,2,0),0))</f>
        <v/>
      </c>
      <c r="CP20" s="27"/>
      <c r="CQ20" s="28" t="s">
        <v>1</v>
      </c>
      <c r="CR20" s="29"/>
      <c r="CS20" s="11" t="str">
        <f>IF(ISBLANK($I20)=TRUE,"",IF(SIGN(CP20-CR20)=SIGN($G20-$I20),1,0)+IF(CP20=$G20,IF(CR20=$I20,2,0),0))</f>
        <v/>
      </c>
      <c r="CT20" s="27"/>
      <c r="CU20" s="28" t="s">
        <v>1</v>
      </c>
      <c r="CV20" s="29"/>
      <c r="CW20" s="11" t="str">
        <f>IF(ISBLANK($I20)=TRUE,"",IF(SIGN(CT20-CV20)=SIGN($G20-$I20),1,0)+IF(CT20=$G20,IF(CV20=$I20,2,0),0))</f>
        <v/>
      </c>
      <c r="CX20" s="27"/>
      <c r="CY20" s="28" t="s">
        <v>1</v>
      </c>
      <c r="CZ20" s="29"/>
      <c r="DA20" s="11" t="str">
        <f>IF(ISBLANK($I20)=TRUE,"",IF(SIGN(CX20-CZ20)=SIGN($G20-$I20),1,0)+IF(CX20=$G20,IF(CZ20=$I20,2,0),0))</f>
        <v/>
      </c>
      <c r="DB20" s="27"/>
      <c r="DC20" s="28" t="s">
        <v>1</v>
      </c>
      <c r="DD20" s="29"/>
      <c r="DE20" s="11" t="str">
        <f>IF(ISBLANK($I20)=TRUE,"",IF(SIGN(DB20-DD20)=SIGN($G20-$I20),1,0)+IF(DB20=$G20,IF(DD20=$I20,2,0),0))</f>
        <v/>
      </c>
      <c r="DF20" s="27"/>
      <c r="DG20" s="28" t="s">
        <v>1</v>
      </c>
      <c r="DH20" s="29"/>
      <c r="DI20" s="11" t="str">
        <f>IF(ISBLANK($I20)=TRUE,"",IF(SIGN(DF20-DH20)=SIGN($G20-$I20),1,0)+IF(DF20=$G20,IF(DH20=$I20,2,0),0))</f>
        <v/>
      </c>
    </row>
    <row r="21" spans="2:113" x14ac:dyDescent="0.3">
      <c r="B21" s="12">
        <v>46207</v>
      </c>
      <c r="C21" s="33">
        <v>0.95833333333333337</v>
      </c>
      <c r="D21" s="3"/>
      <c r="E21" s="1" t="s">
        <v>1</v>
      </c>
      <c r="F21" s="5"/>
      <c r="G21" s="3"/>
      <c r="H21" s="1" t="s">
        <v>1</v>
      </c>
      <c r="I21" s="5"/>
      <c r="J21" s="3"/>
      <c r="K21" s="1" t="s">
        <v>1</v>
      </c>
      <c r="L21" s="5"/>
      <c r="M21" s="9" t="str">
        <f t="shared" ref="M21:M27" si="73">IF(ISBLANK($G21)=TRUE,"",IF(SIGN(J21-L21)=SIGN($G21-$I21),1,0)+IF(J21=$G21,IF(L21=$I21,2,0),0))</f>
        <v/>
      </c>
      <c r="N21" s="3"/>
      <c r="O21" s="1" t="s">
        <v>1</v>
      </c>
      <c r="P21" s="5"/>
      <c r="Q21" s="9" t="str">
        <f t="shared" ref="Q21:Q27" si="74">IF(ISBLANK($G21)=TRUE,"",IF(SIGN(N21-P21)=SIGN($G21-$I21),1,0)+IF(N21=$G21,IF(P21=$I21,2,0),0))</f>
        <v/>
      </c>
      <c r="R21" s="3"/>
      <c r="S21" s="1" t="s">
        <v>1</v>
      </c>
      <c r="T21" s="5"/>
      <c r="U21" s="9" t="str">
        <f t="shared" ref="U21:U27" si="75">IF(ISBLANK($G21)=TRUE,"",IF(SIGN(R21-T21)=SIGN($G21-$I21),1,0)+IF(R21=$G21,IF(T21=$I21,2,0),0))</f>
        <v/>
      </c>
      <c r="V21" s="3"/>
      <c r="W21" s="1" t="s">
        <v>1</v>
      </c>
      <c r="X21" s="5"/>
      <c r="Y21" s="9" t="str">
        <f t="shared" ref="Y21:Y27" si="76">IF(ISBLANK($G21)=TRUE,"",IF(SIGN(V21-X21)=SIGN($G21-$I21),1,0)+IF(V21=$G21,IF(X21=$I21,2,0),0))</f>
        <v/>
      </c>
      <c r="Z21" s="3"/>
      <c r="AA21" s="1" t="s">
        <v>1</v>
      </c>
      <c r="AB21" s="5"/>
      <c r="AC21" s="9" t="str">
        <f t="shared" ref="AC21:AC27" si="77">IF(ISBLANK($G21)=TRUE,"",IF(SIGN(Z21-AB21)=SIGN($G21-$I21),1,0)+IF(Z21=$G21,IF(AB21=$I21,2,0),0))</f>
        <v/>
      </c>
      <c r="AD21" s="3"/>
      <c r="AE21" s="1" t="s">
        <v>1</v>
      </c>
      <c r="AF21" s="5"/>
      <c r="AG21" s="9" t="str">
        <f t="shared" ref="AG21:AG27" si="78">IF(ISBLANK($G21)=TRUE,"",IF(SIGN(AD21-AF21)=SIGN($G21-$I21),1,0)+IF(AD21=$G21,IF(AF21=$I21,2,0),0))</f>
        <v/>
      </c>
      <c r="AH21" s="3"/>
      <c r="AI21" s="1" t="s">
        <v>1</v>
      </c>
      <c r="AJ21" s="5"/>
      <c r="AK21" s="9" t="str">
        <f t="shared" ref="AK21:AK27" si="79">IF(ISBLANK($G21)=TRUE,"",IF(SIGN(AH21-AJ21)=SIGN($G21-$I21),1,0)+IF(AH21=$G21,IF(AJ21=$I21,2,0),0))</f>
        <v/>
      </c>
      <c r="AL21" s="3"/>
      <c r="AM21" s="1" t="s">
        <v>1</v>
      </c>
      <c r="AN21" s="5"/>
      <c r="AO21" s="9" t="str">
        <f t="shared" ref="AO21:AO27" si="80">IF(ISBLANK($G21)=TRUE,"",IF(SIGN(AL21-AN21)=SIGN($G21-$I21),1,0)+IF(AL21=$G21,IF(AN21=$I21,2,0),0))</f>
        <v/>
      </c>
      <c r="AP21" s="3"/>
      <c r="AQ21" s="1" t="s">
        <v>1</v>
      </c>
      <c r="AR21" s="5"/>
      <c r="AS21" s="9" t="str">
        <f t="shared" ref="AS21:AS27" si="81">IF(ISBLANK($G21)=TRUE,"",IF(SIGN(AP21-AR21)=SIGN($G21-$I21),1,0)+IF(AP21=$G21,IF(AR21=$I21,2,0),0))</f>
        <v/>
      </c>
      <c r="AT21" s="3"/>
      <c r="AU21" s="1" t="s">
        <v>1</v>
      </c>
      <c r="AV21" s="5"/>
      <c r="AW21" s="9" t="str">
        <f t="shared" ref="AW21:AW27" si="82">IF(ISBLANK($G21)=TRUE,"",IF(SIGN(AT21-AV21)=SIGN($G21-$I21),1,0)+IF(AT21=$G21,IF(AV21=$I21,2,0),0))</f>
        <v/>
      </c>
      <c r="AX21" s="3"/>
      <c r="AY21" s="1" t="s">
        <v>1</v>
      </c>
      <c r="AZ21" s="5"/>
      <c r="BA21" s="9" t="str">
        <f t="shared" ref="BA21:BA27" si="83">IF(ISBLANK($G21)=TRUE,"",IF(SIGN(AX21-AZ21)=SIGN($G21-$I21),1,0)+IF(AX21=$G21,IF(AZ21=$I21,2,0),0))</f>
        <v/>
      </c>
      <c r="BB21" s="3"/>
      <c r="BC21" s="1" t="s">
        <v>1</v>
      </c>
      <c r="BD21" s="5"/>
      <c r="BE21" s="9" t="str">
        <f t="shared" ref="BE21:BE27" si="84">IF(ISBLANK($G21)=TRUE,"",IF(SIGN(BB21-BD21)=SIGN($G21-$I21),1,0)+IF(BB21=$G21,IF(BD21=$I21,2,0),0))</f>
        <v/>
      </c>
      <c r="BF21" s="3"/>
      <c r="BG21" s="1" t="s">
        <v>1</v>
      </c>
      <c r="BH21" s="5"/>
      <c r="BI21" s="9" t="str">
        <f t="shared" ref="BI21:BI27" si="85">IF(ISBLANK($G21)=TRUE,"",IF(SIGN(BF21-BH21)=SIGN($G21-$I21),1,0)+IF(BF21=$G21,IF(BH21=$I21,2,0),0))</f>
        <v/>
      </c>
      <c r="BJ21" s="3"/>
      <c r="BK21" s="1" t="s">
        <v>1</v>
      </c>
      <c r="BL21" s="5"/>
      <c r="BM21" s="9" t="str">
        <f t="shared" ref="BM21:BM27" si="86">IF(ISBLANK($G21)=TRUE,"",IF(SIGN(BJ21-BL21)=SIGN($G21-$I21),1,0)+IF(BJ21=$G21,IF(BL21=$I21,2,0),0))</f>
        <v/>
      </c>
      <c r="BN21" s="3"/>
      <c r="BO21" s="1" t="s">
        <v>1</v>
      </c>
      <c r="BP21" s="5"/>
      <c r="BQ21" s="9" t="str">
        <f t="shared" ref="BQ21:BQ27" si="87">IF(ISBLANK($G21)=TRUE,"",IF(SIGN(BN21-BP21)=SIGN($G21-$I21),1,0)+IF(BN21=$G21,IF(BP21=$I21,2,0),0))</f>
        <v/>
      </c>
      <c r="BR21" s="3"/>
      <c r="BS21" s="1" t="s">
        <v>1</v>
      </c>
      <c r="BT21" s="5"/>
      <c r="BU21" s="9" t="str">
        <f t="shared" ref="BU21:BU27" si="88">IF(ISBLANK($G21)=TRUE,"",IF(SIGN(BR21-BT21)=SIGN($G21-$I21),1,0)+IF(BR21=$G21,IF(BT21=$I21,2,0),0))</f>
        <v/>
      </c>
      <c r="BV21" s="3"/>
      <c r="BW21" s="1" t="s">
        <v>1</v>
      </c>
      <c r="BX21" s="5"/>
      <c r="BY21" s="9" t="str">
        <f t="shared" ref="BY21:BY27" si="89">IF(ISBLANK($G21)=TRUE,"",IF(SIGN(BV21-BX21)=SIGN($G21-$I21),1,0)+IF(BV21=$G21,IF(BX21=$I21,2,0),0))</f>
        <v/>
      </c>
      <c r="BZ21" s="3"/>
      <c r="CA21" s="1" t="s">
        <v>1</v>
      </c>
      <c r="CB21" s="5"/>
      <c r="CC21" s="9" t="str">
        <f t="shared" ref="CC21:CC27" si="90">IF(ISBLANK($G21)=TRUE,"",IF(SIGN(BZ21-CB21)=SIGN($G21-$I21),1,0)+IF(BZ21=$G21,IF(CB21=$I21,2,0),0))</f>
        <v/>
      </c>
      <c r="CD21" s="3"/>
      <c r="CE21" s="1" t="s">
        <v>1</v>
      </c>
      <c r="CF21" s="5"/>
      <c r="CG21" s="9" t="str">
        <f t="shared" ref="CG21:CG27" si="91">IF(ISBLANK($G21)=TRUE,"",IF(SIGN(CD21-CF21)=SIGN($G21-$I21),1,0)+IF(CD21=$G21,IF(CF21=$I21,2,0),0))</f>
        <v/>
      </c>
      <c r="CH21" s="3"/>
      <c r="CI21" s="1" t="s">
        <v>1</v>
      </c>
      <c r="CJ21" s="5"/>
      <c r="CK21" s="9" t="str">
        <f t="shared" ref="CK21:CK27" si="92">IF(ISBLANK($G21)=TRUE,"",IF(SIGN(CH21-CJ21)=SIGN($G21-$I21),1,0)+IF(CH21=$G21,IF(CJ21=$I21,2,0),0))</f>
        <v/>
      </c>
      <c r="CL21" s="3"/>
      <c r="CM21" s="1" t="s">
        <v>1</v>
      </c>
      <c r="CN21" s="5"/>
      <c r="CO21" s="9" t="str">
        <f t="shared" ref="CO21:CO27" si="93">IF(ISBLANK($G21)=TRUE,"",IF(SIGN(CL21-CN21)=SIGN($G21-$I21),1,0)+IF(CL21=$G21,IF(CN21=$I21,2,0),0))</f>
        <v/>
      </c>
      <c r="CP21" s="3"/>
      <c r="CQ21" s="1" t="s">
        <v>1</v>
      </c>
      <c r="CR21" s="5"/>
      <c r="CS21" s="9" t="str">
        <f t="shared" ref="CS21:CS27" si="94">IF(ISBLANK($G21)=TRUE,"",IF(SIGN(CP21-CR21)=SIGN($G21-$I21),1,0)+IF(CP21=$G21,IF(CR21=$I21,2,0),0))</f>
        <v/>
      </c>
      <c r="CT21" s="3"/>
      <c r="CU21" s="1" t="s">
        <v>1</v>
      </c>
      <c r="CV21" s="5"/>
      <c r="CW21" s="9" t="str">
        <f t="shared" ref="CW21:CW27" si="95">IF(ISBLANK($G21)=TRUE,"",IF(SIGN(CT21-CV21)=SIGN($G21-$I21),1,0)+IF(CT21=$G21,IF(CV21=$I21,2,0),0))</f>
        <v/>
      </c>
      <c r="CX21" s="3"/>
      <c r="CY21" s="1" t="s">
        <v>1</v>
      </c>
      <c r="CZ21" s="5"/>
      <c r="DA21" s="9" t="str">
        <f t="shared" ref="DA21:DA27" si="96">IF(ISBLANK($G21)=TRUE,"",IF(SIGN(CX21-CZ21)=SIGN($G21-$I21),1,0)+IF(CX21=$G21,IF(CZ21=$I21,2,0),0))</f>
        <v/>
      </c>
      <c r="DB21" s="3"/>
      <c r="DC21" s="1" t="s">
        <v>1</v>
      </c>
      <c r="DD21" s="5"/>
      <c r="DE21" s="9" t="str">
        <f t="shared" ref="DE21:DE27" si="97">IF(ISBLANK($G21)=TRUE,"",IF(SIGN(DB21-DD21)=SIGN($G21-$I21),1,0)+IF(DB21=$G21,IF(DD21=$I21,2,0),0))</f>
        <v/>
      </c>
      <c r="DF21" s="3"/>
      <c r="DG21" s="1" t="s">
        <v>1</v>
      </c>
      <c r="DH21" s="5"/>
      <c r="DI21" s="9" t="str">
        <f t="shared" ref="DI21:DI27" si="98">IF(ISBLANK($G21)=TRUE,"",IF(SIGN(DF21-DH21)=SIGN($G21-$I21),1,0)+IF(DF21=$G21,IF(DH21=$I21,2,0),0))</f>
        <v/>
      </c>
    </row>
    <row r="22" spans="2:113" x14ac:dyDescent="0.3">
      <c r="B22" s="12">
        <v>46208</v>
      </c>
      <c r="C22" s="33">
        <v>0.91666666666666663</v>
      </c>
      <c r="D22" s="3"/>
      <c r="E22" s="1" t="s">
        <v>1</v>
      </c>
      <c r="F22" s="5"/>
      <c r="G22" s="3"/>
      <c r="H22" s="1" t="s">
        <v>1</v>
      </c>
      <c r="I22" s="5"/>
      <c r="J22" s="3"/>
      <c r="K22" s="1" t="s">
        <v>1</v>
      </c>
      <c r="L22" s="5"/>
      <c r="M22" s="9" t="str">
        <f t="shared" si="73"/>
        <v/>
      </c>
      <c r="N22" s="3"/>
      <c r="O22" s="1" t="s">
        <v>1</v>
      </c>
      <c r="P22" s="5"/>
      <c r="Q22" s="9" t="str">
        <f t="shared" si="74"/>
        <v/>
      </c>
      <c r="R22" s="3"/>
      <c r="S22" s="1" t="s">
        <v>1</v>
      </c>
      <c r="T22" s="5"/>
      <c r="U22" s="9" t="str">
        <f t="shared" si="75"/>
        <v/>
      </c>
      <c r="V22" s="3"/>
      <c r="W22" s="1" t="s">
        <v>1</v>
      </c>
      <c r="X22" s="5"/>
      <c r="Y22" s="9" t="str">
        <f t="shared" si="76"/>
        <v/>
      </c>
      <c r="Z22" s="3"/>
      <c r="AA22" s="1" t="s">
        <v>1</v>
      </c>
      <c r="AB22" s="5"/>
      <c r="AC22" s="9" t="str">
        <f t="shared" si="77"/>
        <v/>
      </c>
      <c r="AD22" s="3"/>
      <c r="AE22" s="1" t="s">
        <v>1</v>
      </c>
      <c r="AF22" s="5"/>
      <c r="AG22" s="9" t="str">
        <f t="shared" si="78"/>
        <v/>
      </c>
      <c r="AH22" s="3"/>
      <c r="AI22" s="1" t="s">
        <v>1</v>
      </c>
      <c r="AJ22" s="5"/>
      <c r="AK22" s="9" t="str">
        <f t="shared" si="79"/>
        <v/>
      </c>
      <c r="AL22" s="3"/>
      <c r="AM22" s="1" t="s">
        <v>1</v>
      </c>
      <c r="AN22" s="5"/>
      <c r="AO22" s="9" t="str">
        <f t="shared" si="80"/>
        <v/>
      </c>
      <c r="AP22" s="3"/>
      <c r="AQ22" s="1" t="s">
        <v>1</v>
      </c>
      <c r="AR22" s="5"/>
      <c r="AS22" s="9" t="str">
        <f t="shared" si="81"/>
        <v/>
      </c>
      <c r="AT22" s="3"/>
      <c r="AU22" s="1" t="s">
        <v>1</v>
      </c>
      <c r="AV22" s="5"/>
      <c r="AW22" s="9" t="str">
        <f t="shared" si="82"/>
        <v/>
      </c>
      <c r="AX22" s="3"/>
      <c r="AY22" s="1" t="s">
        <v>1</v>
      </c>
      <c r="AZ22" s="5"/>
      <c r="BA22" s="9" t="str">
        <f t="shared" si="83"/>
        <v/>
      </c>
      <c r="BB22" s="3"/>
      <c r="BC22" s="1" t="s">
        <v>1</v>
      </c>
      <c r="BD22" s="5"/>
      <c r="BE22" s="9" t="str">
        <f t="shared" si="84"/>
        <v/>
      </c>
      <c r="BF22" s="3"/>
      <c r="BG22" s="1" t="s">
        <v>1</v>
      </c>
      <c r="BH22" s="5"/>
      <c r="BI22" s="9" t="str">
        <f t="shared" si="85"/>
        <v/>
      </c>
      <c r="BJ22" s="3"/>
      <c r="BK22" s="1" t="s">
        <v>1</v>
      </c>
      <c r="BL22" s="5"/>
      <c r="BM22" s="9" t="str">
        <f t="shared" si="86"/>
        <v/>
      </c>
      <c r="BN22" s="3"/>
      <c r="BO22" s="1" t="s">
        <v>1</v>
      </c>
      <c r="BP22" s="5"/>
      <c r="BQ22" s="9" t="str">
        <f t="shared" si="87"/>
        <v/>
      </c>
      <c r="BR22" s="3"/>
      <c r="BS22" s="1" t="s">
        <v>1</v>
      </c>
      <c r="BT22" s="5"/>
      <c r="BU22" s="9" t="str">
        <f t="shared" si="88"/>
        <v/>
      </c>
      <c r="BV22" s="3"/>
      <c r="BW22" s="1" t="s">
        <v>1</v>
      </c>
      <c r="BX22" s="5"/>
      <c r="BY22" s="9" t="str">
        <f t="shared" si="89"/>
        <v/>
      </c>
      <c r="BZ22" s="3"/>
      <c r="CA22" s="1" t="s">
        <v>1</v>
      </c>
      <c r="CB22" s="5"/>
      <c r="CC22" s="9" t="str">
        <f t="shared" si="90"/>
        <v/>
      </c>
      <c r="CD22" s="3"/>
      <c r="CE22" s="1" t="s">
        <v>1</v>
      </c>
      <c r="CF22" s="5"/>
      <c r="CG22" s="9" t="str">
        <f t="shared" si="91"/>
        <v/>
      </c>
      <c r="CH22" s="3"/>
      <c r="CI22" s="1" t="s">
        <v>1</v>
      </c>
      <c r="CJ22" s="5"/>
      <c r="CK22" s="9" t="str">
        <f t="shared" si="92"/>
        <v/>
      </c>
      <c r="CL22" s="3"/>
      <c r="CM22" s="1" t="s">
        <v>1</v>
      </c>
      <c r="CN22" s="5"/>
      <c r="CO22" s="9" t="str">
        <f t="shared" si="93"/>
        <v/>
      </c>
      <c r="CP22" s="3"/>
      <c r="CQ22" s="1" t="s">
        <v>1</v>
      </c>
      <c r="CR22" s="5"/>
      <c r="CS22" s="9" t="str">
        <f t="shared" si="94"/>
        <v/>
      </c>
      <c r="CT22" s="3"/>
      <c r="CU22" s="1" t="s">
        <v>1</v>
      </c>
      <c r="CV22" s="5"/>
      <c r="CW22" s="9" t="str">
        <f t="shared" si="95"/>
        <v/>
      </c>
      <c r="CX22" s="3"/>
      <c r="CY22" s="1" t="s">
        <v>1</v>
      </c>
      <c r="CZ22" s="5"/>
      <c r="DA22" s="9" t="str">
        <f t="shared" si="96"/>
        <v/>
      </c>
      <c r="DB22" s="3"/>
      <c r="DC22" s="1" t="s">
        <v>1</v>
      </c>
      <c r="DD22" s="5"/>
      <c r="DE22" s="9" t="str">
        <f t="shared" si="97"/>
        <v/>
      </c>
      <c r="DF22" s="3"/>
      <c r="DG22" s="1" t="s">
        <v>1</v>
      </c>
      <c r="DH22" s="5"/>
      <c r="DI22" s="9" t="str">
        <f t="shared" si="98"/>
        <v/>
      </c>
    </row>
    <row r="23" spans="2:113" x14ac:dyDescent="0.3">
      <c r="B23" s="12">
        <v>46209</v>
      </c>
      <c r="C23" s="33">
        <v>8.3333333333333329E-2</v>
      </c>
      <c r="D23" s="3"/>
      <c r="E23" s="1" t="s">
        <v>1</v>
      </c>
      <c r="F23" s="5"/>
      <c r="G23" s="3"/>
      <c r="H23" s="1" t="s">
        <v>1</v>
      </c>
      <c r="I23" s="5"/>
      <c r="J23" s="3"/>
      <c r="K23" s="1" t="s">
        <v>1</v>
      </c>
      <c r="L23" s="5"/>
      <c r="M23" s="9" t="str">
        <f t="shared" si="73"/>
        <v/>
      </c>
      <c r="N23" s="3"/>
      <c r="O23" s="1" t="s">
        <v>1</v>
      </c>
      <c r="P23" s="5"/>
      <c r="Q23" s="9" t="str">
        <f t="shared" si="74"/>
        <v/>
      </c>
      <c r="R23" s="3"/>
      <c r="S23" s="1" t="s">
        <v>1</v>
      </c>
      <c r="T23" s="5"/>
      <c r="U23" s="9" t="str">
        <f t="shared" si="75"/>
        <v/>
      </c>
      <c r="V23" s="3"/>
      <c r="W23" s="1" t="s">
        <v>1</v>
      </c>
      <c r="X23" s="5"/>
      <c r="Y23" s="9" t="str">
        <f t="shared" si="76"/>
        <v/>
      </c>
      <c r="Z23" s="3"/>
      <c r="AA23" s="1" t="s">
        <v>1</v>
      </c>
      <c r="AB23" s="5"/>
      <c r="AC23" s="9" t="str">
        <f t="shared" si="77"/>
        <v/>
      </c>
      <c r="AD23" s="3"/>
      <c r="AE23" s="1" t="s">
        <v>1</v>
      </c>
      <c r="AF23" s="5"/>
      <c r="AG23" s="9" t="str">
        <f t="shared" si="78"/>
        <v/>
      </c>
      <c r="AH23" s="3"/>
      <c r="AI23" s="1" t="s">
        <v>1</v>
      </c>
      <c r="AJ23" s="5"/>
      <c r="AK23" s="9" t="str">
        <f t="shared" si="79"/>
        <v/>
      </c>
      <c r="AL23" s="3"/>
      <c r="AM23" s="1" t="s">
        <v>1</v>
      </c>
      <c r="AN23" s="5"/>
      <c r="AO23" s="9" t="str">
        <f t="shared" si="80"/>
        <v/>
      </c>
      <c r="AP23" s="3"/>
      <c r="AQ23" s="1" t="s">
        <v>1</v>
      </c>
      <c r="AR23" s="5"/>
      <c r="AS23" s="9" t="str">
        <f t="shared" si="81"/>
        <v/>
      </c>
      <c r="AT23" s="3"/>
      <c r="AU23" s="1" t="s">
        <v>1</v>
      </c>
      <c r="AV23" s="5"/>
      <c r="AW23" s="9" t="str">
        <f t="shared" si="82"/>
        <v/>
      </c>
      <c r="AX23" s="3"/>
      <c r="AY23" s="1" t="s">
        <v>1</v>
      </c>
      <c r="AZ23" s="5"/>
      <c r="BA23" s="9" t="str">
        <f t="shared" si="83"/>
        <v/>
      </c>
      <c r="BB23" s="3"/>
      <c r="BC23" s="1" t="s">
        <v>1</v>
      </c>
      <c r="BD23" s="5"/>
      <c r="BE23" s="9" t="str">
        <f t="shared" si="84"/>
        <v/>
      </c>
      <c r="BF23" s="3"/>
      <c r="BG23" s="1" t="s">
        <v>1</v>
      </c>
      <c r="BH23" s="5"/>
      <c r="BI23" s="9" t="str">
        <f t="shared" si="85"/>
        <v/>
      </c>
      <c r="BJ23" s="3"/>
      <c r="BK23" s="1" t="s">
        <v>1</v>
      </c>
      <c r="BL23" s="5"/>
      <c r="BM23" s="9" t="str">
        <f t="shared" si="86"/>
        <v/>
      </c>
      <c r="BN23" s="3"/>
      <c r="BO23" s="1" t="s">
        <v>1</v>
      </c>
      <c r="BP23" s="5"/>
      <c r="BQ23" s="9" t="str">
        <f t="shared" si="87"/>
        <v/>
      </c>
      <c r="BR23" s="3"/>
      <c r="BS23" s="1" t="s">
        <v>1</v>
      </c>
      <c r="BT23" s="5"/>
      <c r="BU23" s="9" t="str">
        <f t="shared" si="88"/>
        <v/>
      </c>
      <c r="BV23" s="3"/>
      <c r="BW23" s="1" t="s">
        <v>1</v>
      </c>
      <c r="BX23" s="5"/>
      <c r="BY23" s="9" t="str">
        <f t="shared" si="89"/>
        <v/>
      </c>
      <c r="BZ23" s="3"/>
      <c r="CA23" s="1" t="s">
        <v>1</v>
      </c>
      <c r="CB23" s="5"/>
      <c r="CC23" s="9" t="str">
        <f t="shared" si="90"/>
        <v/>
      </c>
      <c r="CD23" s="3"/>
      <c r="CE23" s="1" t="s">
        <v>1</v>
      </c>
      <c r="CF23" s="5"/>
      <c r="CG23" s="9" t="str">
        <f t="shared" si="91"/>
        <v/>
      </c>
      <c r="CH23" s="3"/>
      <c r="CI23" s="1" t="s">
        <v>1</v>
      </c>
      <c r="CJ23" s="5"/>
      <c r="CK23" s="9" t="str">
        <f t="shared" si="92"/>
        <v/>
      </c>
      <c r="CL23" s="3"/>
      <c r="CM23" s="1" t="s">
        <v>1</v>
      </c>
      <c r="CN23" s="5"/>
      <c r="CO23" s="9" t="str">
        <f t="shared" si="93"/>
        <v/>
      </c>
      <c r="CP23" s="3"/>
      <c r="CQ23" s="1" t="s">
        <v>1</v>
      </c>
      <c r="CR23" s="5"/>
      <c r="CS23" s="9" t="str">
        <f t="shared" si="94"/>
        <v/>
      </c>
      <c r="CT23" s="3"/>
      <c r="CU23" s="1" t="s">
        <v>1</v>
      </c>
      <c r="CV23" s="5"/>
      <c r="CW23" s="9" t="str">
        <f t="shared" si="95"/>
        <v/>
      </c>
      <c r="CX23" s="3"/>
      <c r="CY23" s="1" t="s">
        <v>1</v>
      </c>
      <c r="CZ23" s="5"/>
      <c r="DA23" s="9" t="str">
        <f t="shared" si="96"/>
        <v/>
      </c>
      <c r="DB23" s="3"/>
      <c r="DC23" s="1" t="s">
        <v>1</v>
      </c>
      <c r="DD23" s="5"/>
      <c r="DE23" s="9" t="str">
        <f t="shared" si="97"/>
        <v/>
      </c>
      <c r="DF23" s="3"/>
      <c r="DG23" s="1" t="s">
        <v>1</v>
      </c>
      <c r="DH23" s="5"/>
      <c r="DI23" s="9" t="str">
        <f t="shared" si="98"/>
        <v/>
      </c>
    </row>
    <row r="24" spans="2:113" x14ac:dyDescent="0.3">
      <c r="B24" s="12">
        <v>46209</v>
      </c>
      <c r="C24" s="33">
        <v>0.875</v>
      </c>
      <c r="D24" s="3"/>
      <c r="E24" s="1" t="s">
        <v>1</v>
      </c>
      <c r="F24" s="5"/>
      <c r="G24" s="3"/>
      <c r="H24" s="1" t="s">
        <v>1</v>
      </c>
      <c r="I24" s="5"/>
      <c r="J24" s="3"/>
      <c r="K24" s="1" t="s">
        <v>1</v>
      </c>
      <c r="L24" s="5"/>
      <c r="M24" s="9" t="str">
        <f t="shared" ref="M24:M26" si="99">IF(ISBLANK($G24)=TRUE,"",IF(SIGN(J24-L24)=SIGN($G24-$I24),1,0)+IF(J24=$G24,IF(L24=$I24,2,0),0))</f>
        <v/>
      </c>
      <c r="N24" s="3"/>
      <c r="O24" s="1" t="s">
        <v>1</v>
      </c>
      <c r="P24" s="5"/>
      <c r="Q24" s="9" t="str">
        <f t="shared" si="74"/>
        <v/>
      </c>
      <c r="R24" s="3"/>
      <c r="S24" s="1" t="s">
        <v>1</v>
      </c>
      <c r="T24" s="5"/>
      <c r="U24" s="9" t="str">
        <f t="shared" si="75"/>
        <v/>
      </c>
      <c r="V24" s="3"/>
      <c r="W24" s="1" t="s">
        <v>1</v>
      </c>
      <c r="X24" s="5"/>
      <c r="Y24" s="9" t="str">
        <f t="shared" si="76"/>
        <v/>
      </c>
      <c r="Z24" s="3"/>
      <c r="AA24" s="1" t="s">
        <v>1</v>
      </c>
      <c r="AB24" s="5"/>
      <c r="AC24" s="9" t="str">
        <f t="shared" si="77"/>
        <v/>
      </c>
      <c r="AD24" s="3"/>
      <c r="AE24" s="1" t="s">
        <v>1</v>
      </c>
      <c r="AF24" s="5"/>
      <c r="AG24" s="9" t="str">
        <f t="shared" si="78"/>
        <v/>
      </c>
      <c r="AH24" s="3"/>
      <c r="AI24" s="1" t="s">
        <v>1</v>
      </c>
      <c r="AJ24" s="5"/>
      <c r="AK24" s="9" t="str">
        <f t="shared" si="79"/>
        <v/>
      </c>
      <c r="AL24" s="3"/>
      <c r="AM24" s="1" t="s">
        <v>1</v>
      </c>
      <c r="AN24" s="5"/>
      <c r="AO24" s="9" t="str">
        <f t="shared" si="80"/>
        <v/>
      </c>
      <c r="AP24" s="3"/>
      <c r="AQ24" s="1" t="s">
        <v>1</v>
      </c>
      <c r="AR24" s="5"/>
      <c r="AS24" s="9" t="str">
        <f t="shared" si="81"/>
        <v/>
      </c>
      <c r="AT24" s="3"/>
      <c r="AU24" s="1" t="s">
        <v>1</v>
      </c>
      <c r="AV24" s="5"/>
      <c r="AW24" s="9" t="str">
        <f t="shared" si="82"/>
        <v/>
      </c>
      <c r="AX24" s="3"/>
      <c r="AY24" s="1" t="s">
        <v>1</v>
      </c>
      <c r="AZ24" s="5"/>
      <c r="BA24" s="9" t="str">
        <f t="shared" si="83"/>
        <v/>
      </c>
      <c r="BB24" s="3"/>
      <c r="BC24" s="1" t="s">
        <v>1</v>
      </c>
      <c r="BD24" s="5"/>
      <c r="BE24" s="9" t="str">
        <f t="shared" si="84"/>
        <v/>
      </c>
      <c r="BF24" s="3"/>
      <c r="BG24" s="1" t="s">
        <v>1</v>
      </c>
      <c r="BH24" s="5"/>
      <c r="BI24" s="9" t="str">
        <f t="shared" si="85"/>
        <v/>
      </c>
      <c r="BJ24" s="3"/>
      <c r="BK24" s="1" t="s">
        <v>1</v>
      </c>
      <c r="BL24" s="5"/>
      <c r="BM24" s="9" t="str">
        <f t="shared" si="86"/>
        <v/>
      </c>
      <c r="BN24" s="3"/>
      <c r="BO24" s="1" t="s">
        <v>1</v>
      </c>
      <c r="BP24" s="5"/>
      <c r="BQ24" s="9" t="str">
        <f t="shared" si="87"/>
        <v/>
      </c>
      <c r="BR24" s="3"/>
      <c r="BS24" s="1" t="s">
        <v>1</v>
      </c>
      <c r="BT24" s="5"/>
      <c r="BU24" s="9" t="str">
        <f t="shared" si="88"/>
        <v/>
      </c>
      <c r="BV24" s="3"/>
      <c r="BW24" s="1" t="s">
        <v>1</v>
      </c>
      <c r="BX24" s="5"/>
      <c r="BY24" s="9" t="str">
        <f t="shared" si="89"/>
        <v/>
      </c>
      <c r="BZ24" s="3"/>
      <c r="CA24" s="1" t="s">
        <v>1</v>
      </c>
      <c r="CB24" s="5"/>
      <c r="CC24" s="9" t="str">
        <f t="shared" si="90"/>
        <v/>
      </c>
      <c r="CD24" s="3"/>
      <c r="CE24" s="1" t="s">
        <v>1</v>
      </c>
      <c r="CF24" s="5"/>
      <c r="CG24" s="9" t="str">
        <f t="shared" si="91"/>
        <v/>
      </c>
      <c r="CH24" s="3"/>
      <c r="CI24" s="1" t="s">
        <v>1</v>
      </c>
      <c r="CJ24" s="5"/>
      <c r="CK24" s="9" t="str">
        <f t="shared" si="92"/>
        <v/>
      </c>
      <c r="CL24" s="3"/>
      <c r="CM24" s="1" t="s">
        <v>1</v>
      </c>
      <c r="CN24" s="5"/>
      <c r="CO24" s="9" t="str">
        <f t="shared" si="93"/>
        <v/>
      </c>
      <c r="CP24" s="3"/>
      <c r="CQ24" s="1" t="s">
        <v>1</v>
      </c>
      <c r="CR24" s="5"/>
      <c r="CS24" s="9" t="str">
        <f t="shared" si="94"/>
        <v/>
      </c>
      <c r="CT24" s="3"/>
      <c r="CU24" s="1" t="s">
        <v>1</v>
      </c>
      <c r="CV24" s="5"/>
      <c r="CW24" s="9" t="str">
        <f t="shared" si="95"/>
        <v/>
      </c>
      <c r="CX24" s="3"/>
      <c r="CY24" s="1" t="s">
        <v>1</v>
      </c>
      <c r="CZ24" s="5"/>
      <c r="DA24" s="9" t="str">
        <f t="shared" si="96"/>
        <v/>
      </c>
      <c r="DB24" s="3"/>
      <c r="DC24" s="1" t="s">
        <v>1</v>
      </c>
      <c r="DD24" s="5"/>
      <c r="DE24" s="9" t="str">
        <f t="shared" si="97"/>
        <v/>
      </c>
      <c r="DF24" s="3"/>
      <c r="DG24" s="1" t="s">
        <v>1</v>
      </c>
      <c r="DH24" s="5"/>
      <c r="DI24" s="9" t="str">
        <f t="shared" si="98"/>
        <v/>
      </c>
    </row>
    <row r="25" spans="2:113" x14ac:dyDescent="0.3">
      <c r="B25" s="12">
        <v>46210</v>
      </c>
      <c r="C25" s="33">
        <v>8.3333333333333329E-2</v>
      </c>
      <c r="D25" s="3"/>
      <c r="E25" s="1" t="s">
        <v>1</v>
      </c>
      <c r="F25" s="5"/>
      <c r="G25" s="3"/>
      <c r="H25" s="1" t="s">
        <v>1</v>
      </c>
      <c r="I25" s="5"/>
      <c r="J25" s="3"/>
      <c r="K25" s="1" t="s">
        <v>1</v>
      </c>
      <c r="L25" s="5"/>
      <c r="M25" s="9" t="str">
        <f t="shared" si="99"/>
        <v/>
      </c>
      <c r="N25" s="3"/>
      <c r="O25" s="1" t="s">
        <v>1</v>
      </c>
      <c r="P25" s="5"/>
      <c r="Q25" s="9" t="str">
        <f t="shared" si="74"/>
        <v/>
      </c>
      <c r="R25" s="3"/>
      <c r="S25" s="1" t="s">
        <v>1</v>
      </c>
      <c r="T25" s="5"/>
      <c r="U25" s="9" t="str">
        <f t="shared" si="75"/>
        <v/>
      </c>
      <c r="V25" s="3"/>
      <c r="W25" s="1" t="s">
        <v>1</v>
      </c>
      <c r="X25" s="5"/>
      <c r="Y25" s="9" t="str">
        <f t="shared" si="76"/>
        <v/>
      </c>
      <c r="Z25" s="3"/>
      <c r="AA25" s="1" t="s">
        <v>1</v>
      </c>
      <c r="AB25" s="5"/>
      <c r="AC25" s="9" t="str">
        <f t="shared" si="77"/>
        <v/>
      </c>
      <c r="AD25" s="3"/>
      <c r="AE25" s="1" t="s">
        <v>1</v>
      </c>
      <c r="AF25" s="5"/>
      <c r="AG25" s="9" t="str">
        <f t="shared" si="78"/>
        <v/>
      </c>
      <c r="AH25" s="3"/>
      <c r="AI25" s="1" t="s">
        <v>1</v>
      </c>
      <c r="AJ25" s="5"/>
      <c r="AK25" s="9" t="str">
        <f t="shared" si="79"/>
        <v/>
      </c>
      <c r="AL25" s="3"/>
      <c r="AM25" s="1" t="s">
        <v>1</v>
      </c>
      <c r="AN25" s="5"/>
      <c r="AO25" s="9" t="str">
        <f t="shared" si="80"/>
        <v/>
      </c>
      <c r="AP25" s="3"/>
      <c r="AQ25" s="1" t="s">
        <v>1</v>
      </c>
      <c r="AR25" s="5"/>
      <c r="AS25" s="9" t="str">
        <f t="shared" si="81"/>
        <v/>
      </c>
      <c r="AT25" s="3"/>
      <c r="AU25" s="1" t="s">
        <v>1</v>
      </c>
      <c r="AV25" s="5"/>
      <c r="AW25" s="9" t="str">
        <f t="shared" si="82"/>
        <v/>
      </c>
      <c r="AX25" s="3"/>
      <c r="AY25" s="1" t="s">
        <v>1</v>
      </c>
      <c r="AZ25" s="5"/>
      <c r="BA25" s="9" t="str">
        <f t="shared" si="83"/>
        <v/>
      </c>
      <c r="BB25" s="3"/>
      <c r="BC25" s="1" t="s">
        <v>1</v>
      </c>
      <c r="BD25" s="5"/>
      <c r="BE25" s="9" t="str">
        <f t="shared" si="84"/>
        <v/>
      </c>
      <c r="BF25" s="3"/>
      <c r="BG25" s="1" t="s">
        <v>1</v>
      </c>
      <c r="BH25" s="5"/>
      <c r="BI25" s="9" t="str">
        <f t="shared" si="85"/>
        <v/>
      </c>
      <c r="BJ25" s="3"/>
      <c r="BK25" s="1" t="s">
        <v>1</v>
      </c>
      <c r="BL25" s="5"/>
      <c r="BM25" s="9" t="str">
        <f t="shared" si="86"/>
        <v/>
      </c>
      <c r="BN25" s="3"/>
      <c r="BO25" s="1" t="s">
        <v>1</v>
      </c>
      <c r="BP25" s="5"/>
      <c r="BQ25" s="9" t="str">
        <f t="shared" si="87"/>
        <v/>
      </c>
      <c r="BR25" s="3"/>
      <c r="BS25" s="1" t="s">
        <v>1</v>
      </c>
      <c r="BT25" s="5"/>
      <c r="BU25" s="9" t="str">
        <f t="shared" si="88"/>
        <v/>
      </c>
      <c r="BV25" s="3"/>
      <c r="BW25" s="1" t="s">
        <v>1</v>
      </c>
      <c r="BX25" s="5"/>
      <c r="BY25" s="9" t="str">
        <f t="shared" si="89"/>
        <v/>
      </c>
      <c r="BZ25" s="3"/>
      <c r="CA25" s="1" t="s">
        <v>1</v>
      </c>
      <c r="CB25" s="5"/>
      <c r="CC25" s="9" t="str">
        <f t="shared" si="90"/>
        <v/>
      </c>
      <c r="CD25" s="3"/>
      <c r="CE25" s="1" t="s">
        <v>1</v>
      </c>
      <c r="CF25" s="5"/>
      <c r="CG25" s="9" t="str">
        <f t="shared" si="91"/>
        <v/>
      </c>
      <c r="CH25" s="3"/>
      <c r="CI25" s="1" t="s">
        <v>1</v>
      </c>
      <c r="CJ25" s="5"/>
      <c r="CK25" s="9" t="str">
        <f t="shared" si="92"/>
        <v/>
      </c>
      <c r="CL25" s="3"/>
      <c r="CM25" s="1" t="s">
        <v>1</v>
      </c>
      <c r="CN25" s="5"/>
      <c r="CO25" s="9" t="str">
        <f t="shared" si="93"/>
        <v/>
      </c>
      <c r="CP25" s="3"/>
      <c r="CQ25" s="1" t="s">
        <v>1</v>
      </c>
      <c r="CR25" s="5"/>
      <c r="CS25" s="9" t="str">
        <f t="shared" si="94"/>
        <v/>
      </c>
      <c r="CT25" s="3"/>
      <c r="CU25" s="1" t="s">
        <v>1</v>
      </c>
      <c r="CV25" s="5"/>
      <c r="CW25" s="9" t="str">
        <f t="shared" si="95"/>
        <v/>
      </c>
      <c r="CX25" s="3"/>
      <c r="CY25" s="1" t="s">
        <v>1</v>
      </c>
      <c r="CZ25" s="5"/>
      <c r="DA25" s="9" t="str">
        <f t="shared" si="96"/>
        <v/>
      </c>
      <c r="DB25" s="3"/>
      <c r="DC25" s="1" t="s">
        <v>1</v>
      </c>
      <c r="DD25" s="5"/>
      <c r="DE25" s="9" t="str">
        <f t="shared" si="97"/>
        <v/>
      </c>
      <c r="DF25" s="3"/>
      <c r="DG25" s="1" t="s">
        <v>1</v>
      </c>
      <c r="DH25" s="5"/>
      <c r="DI25" s="9" t="str">
        <f t="shared" si="98"/>
        <v/>
      </c>
    </row>
    <row r="26" spans="2:113" x14ac:dyDescent="0.3">
      <c r="B26" s="12">
        <v>46210</v>
      </c>
      <c r="C26" s="33">
        <v>0.75</v>
      </c>
      <c r="D26" s="3"/>
      <c r="E26" s="1" t="s">
        <v>1</v>
      </c>
      <c r="F26" s="5"/>
      <c r="G26" s="3"/>
      <c r="H26" s="1" t="s">
        <v>1</v>
      </c>
      <c r="I26" s="5"/>
      <c r="J26" s="3"/>
      <c r="K26" s="1" t="s">
        <v>1</v>
      </c>
      <c r="L26" s="5"/>
      <c r="M26" s="9" t="str">
        <f t="shared" si="99"/>
        <v/>
      </c>
      <c r="N26" s="3"/>
      <c r="O26" s="1" t="s">
        <v>1</v>
      </c>
      <c r="P26" s="5"/>
      <c r="Q26" s="9" t="str">
        <f t="shared" si="74"/>
        <v/>
      </c>
      <c r="R26" s="3"/>
      <c r="S26" s="1" t="s">
        <v>1</v>
      </c>
      <c r="T26" s="5"/>
      <c r="U26" s="9" t="str">
        <f t="shared" si="75"/>
        <v/>
      </c>
      <c r="V26" s="3"/>
      <c r="W26" s="1" t="s">
        <v>1</v>
      </c>
      <c r="X26" s="5"/>
      <c r="Y26" s="9" t="str">
        <f t="shared" si="76"/>
        <v/>
      </c>
      <c r="Z26" s="3"/>
      <c r="AA26" s="1" t="s">
        <v>1</v>
      </c>
      <c r="AB26" s="5"/>
      <c r="AC26" s="9" t="str">
        <f t="shared" si="77"/>
        <v/>
      </c>
      <c r="AD26" s="3"/>
      <c r="AE26" s="1" t="s">
        <v>1</v>
      </c>
      <c r="AF26" s="5"/>
      <c r="AG26" s="9" t="str">
        <f t="shared" si="78"/>
        <v/>
      </c>
      <c r="AH26" s="3"/>
      <c r="AI26" s="1" t="s">
        <v>1</v>
      </c>
      <c r="AJ26" s="5"/>
      <c r="AK26" s="9" t="str">
        <f t="shared" si="79"/>
        <v/>
      </c>
      <c r="AL26" s="3"/>
      <c r="AM26" s="1" t="s">
        <v>1</v>
      </c>
      <c r="AN26" s="5"/>
      <c r="AO26" s="9" t="str">
        <f t="shared" si="80"/>
        <v/>
      </c>
      <c r="AP26" s="3"/>
      <c r="AQ26" s="1" t="s">
        <v>1</v>
      </c>
      <c r="AR26" s="5"/>
      <c r="AS26" s="9" t="str">
        <f t="shared" si="81"/>
        <v/>
      </c>
      <c r="AT26" s="3"/>
      <c r="AU26" s="1" t="s">
        <v>1</v>
      </c>
      <c r="AV26" s="5"/>
      <c r="AW26" s="9" t="str">
        <f t="shared" si="82"/>
        <v/>
      </c>
      <c r="AX26" s="3"/>
      <c r="AY26" s="1" t="s">
        <v>1</v>
      </c>
      <c r="AZ26" s="5"/>
      <c r="BA26" s="9" t="str">
        <f t="shared" si="83"/>
        <v/>
      </c>
      <c r="BB26" s="3"/>
      <c r="BC26" s="1" t="s">
        <v>1</v>
      </c>
      <c r="BD26" s="5"/>
      <c r="BE26" s="9" t="str">
        <f t="shared" si="84"/>
        <v/>
      </c>
      <c r="BF26" s="3"/>
      <c r="BG26" s="1" t="s">
        <v>1</v>
      </c>
      <c r="BH26" s="5"/>
      <c r="BI26" s="9" t="str">
        <f t="shared" si="85"/>
        <v/>
      </c>
      <c r="BJ26" s="3"/>
      <c r="BK26" s="1" t="s">
        <v>1</v>
      </c>
      <c r="BL26" s="5"/>
      <c r="BM26" s="9" t="str">
        <f t="shared" si="86"/>
        <v/>
      </c>
      <c r="BN26" s="3"/>
      <c r="BO26" s="1" t="s">
        <v>1</v>
      </c>
      <c r="BP26" s="5"/>
      <c r="BQ26" s="9" t="str">
        <f t="shared" si="87"/>
        <v/>
      </c>
      <c r="BR26" s="3"/>
      <c r="BS26" s="1" t="s">
        <v>1</v>
      </c>
      <c r="BT26" s="5"/>
      <c r="BU26" s="9" t="str">
        <f t="shared" si="88"/>
        <v/>
      </c>
      <c r="BV26" s="3"/>
      <c r="BW26" s="1" t="s">
        <v>1</v>
      </c>
      <c r="BX26" s="5"/>
      <c r="BY26" s="9" t="str">
        <f t="shared" si="89"/>
        <v/>
      </c>
      <c r="BZ26" s="3"/>
      <c r="CA26" s="1" t="s">
        <v>1</v>
      </c>
      <c r="CB26" s="5"/>
      <c r="CC26" s="9" t="str">
        <f t="shared" si="90"/>
        <v/>
      </c>
      <c r="CD26" s="3"/>
      <c r="CE26" s="1" t="s">
        <v>1</v>
      </c>
      <c r="CF26" s="5"/>
      <c r="CG26" s="9" t="str">
        <f t="shared" si="91"/>
        <v/>
      </c>
      <c r="CH26" s="3"/>
      <c r="CI26" s="1" t="s">
        <v>1</v>
      </c>
      <c r="CJ26" s="5"/>
      <c r="CK26" s="9" t="str">
        <f t="shared" si="92"/>
        <v/>
      </c>
      <c r="CL26" s="3"/>
      <c r="CM26" s="1" t="s">
        <v>1</v>
      </c>
      <c r="CN26" s="5"/>
      <c r="CO26" s="9" t="str">
        <f t="shared" si="93"/>
        <v/>
      </c>
      <c r="CP26" s="3"/>
      <c r="CQ26" s="1" t="s">
        <v>1</v>
      </c>
      <c r="CR26" s="5"/>
      <c r="CS26" s="9" t="str">
        <f t="shared" si="94"/>
        <v/>
      </c>
      <c r="CT26" s="3"/>
      <c r="CU26" s="1" t="s">
        <v>1</v>
      </c>
      <c r="CV26" s="5"/>
      <c r="CW26" s="9" t="str">
        <f t="shared" si="95"/>
        <v/>
      </c>
      <c r="CX26" s="3"/>
      <c r="CY26" s="1" t="s">
        <v>1</v>
      </c>
      <c r="CZ26" s="5"/>
      <c r="DA26" s="9" t="str">
        <f t="shared" si="96"/>
        <v/>
      </c>
      <c r="DB26" s="3"/>
      <c r="DC26" s="1" t="s">
        <v>1</v>
      </c>
      <c r="DD26" s="5"/>
      <c r="DE26" s="9" t="str">
        <f t="shared" si="97"/>
        <v/>
      </c>
      <c r="DF26" s="3"/>
      <c r="DG26" s="1" t="s">
        <v>1</v>
      </c>
      <c r="DH26" s="5"/>
      <c r="DI26" s="9" t="str">
        <f t="shared" si="98"/>
        <v/>
      </c>
    </row>
    <row r="27" spans="2:113" ht="15" thickBot="1" x14ac:dyDescent="0.35">
      <c r="B27" s="13">
        <v>46210</v>
      </c>
      <c r="C27" s="33">
        <v>0.91666666666666663</v>
      </c>
      <c r="D27" s="3"/>
      <c r="E27" s="1" t="s">
        <v>1</v>
      </c>
      <c r="F27" s="5"/>
      <c r="G27" s="3"/>
      <c r="H27" s="1" t="s">
        <v>1</v>
      </c>
      <c r="I27" s="5"/>
      <c r="J27" s="3"/>
      <c r="K27" s="1" t="s">
        <v>1</v>
      </c>
      <c r="L27" s="5"/>
      <c r="M27" s="9" t="str">
        <f t="shared" si="73"/>
        <v/>
      </c>
      <c r="N27" s="3"/>
      <c r="O27" s="1" t="s">
        <v>1</v>
      </c>
      <c r="P27" s="5"/>
      <c r="Q27" s="9" t="str">
        <f t="shared" si="74"/>
        <v/>
      </c>
      <c r="R27" s="3"/>
      <c r="S27" s="1" t="s">
        <v>1</v>
      </c>
      <c r="T27" s="5"/>
      <c r="U27" s="9" t="str">
        <f t="shared" si="75"/>
        <v/>
      </c>
      <c r="V27" s="3"/>
      <c r="W27" s="1" t="s">
        <v>1</v>
      </c>
      <c r="X27" s="5"/>
      <c r="Y27" s="9" t="str">
        <f t="shared" si="76"/>
        <v/>
      </c>
      <c r="Z27" s="3"/>
      <c r="AA27" s="1" t="s">
        <v>1</v>
      </c>
      <c r="AB27" s="5"/>
      <c r="AC27" s="9" t="str">
        <f t="shared" si="77"/>
        <v/>
      </c>
      <c r="AD27" s="3"/>
      <c r="AE27" s="1" t="s">
        <v>1</v>
      </c>
      <c r="AF27" s="5"/>
      <c r="AG27" s="9" t="str">
        <f t="shared" si="78"/>
        <v/>
      </c>
      <c r="AH27" s="3"/>
      <c r="AI27" s="1" t="s">
        <v>1</v>
      </c>
      <c r="AJ27" s="5"/>
      <c r="AK27" s="9" t="str">
        <f t="shared" si="79"/>
        <v/>
      </c>
      <c r="AL27" s="3"/>
      <c r="AM27" s="1" t="s">
        <v>1</v>
      </c>
      <c r="AN27" s="5"/>
      <c r="AO27" s="9" t="str">
        <f t="shared" si="80"/>
        <v/>
      </c>
      <c r="AP27" s="3"/>
      <c r="AQ27" s="1" t="s">
        <v>1</v>
      </c>
      <c r="AR27" s="5"/>
      <c r="AS27" s="9" t="str">
        <f t="shared" si="81"/>
        <v/>
      </c>
      <c r="AT27" s="3"/>
      <c r="AU27" s="1" t="s">
        <v>1</v>
      </c>
      <c r="AV27" s="5"/>
      <c r="AW27" s="9" t="str">
        <f t="shared" si="82"/>
        <v/>
      </c>
      <c r="AX27" s="3"/>
      <c r="AY27" s="1" t="s">
        <v>1</v>
      </c>
      <c r="AZ27" s="5"/>
      <c r="BA27" s="9" t="str">
        <f t="shared" si="83"/>
        <v/>
      </c>
      <c r="BB27" s="3"/>
      <c r="BC27" s="1" t="s">
        <v>1</v>
      </c>
      <c r="BD27" s="5"/>
      <c r="BE27" s="9" t="str">
        <f t="shared" si="84"/>
        <v/>
      </c>
      <c r="BF27" s="3"/>
      <c r="BG27" s="1" t="s">
        <v>1</v>
      </c>
      <c r="BH27" s="5"/>
      <c r="BI27" s="9" t="str">
        <f t="shared" si="85"/>
        <v/>
      </c>
      <c r="BJ27" s="3"/>
      <c r="BK27" s="1" t="s">
        <v>1</v>
      </c>
      <c r="BL27" s="5"/>
      <c r="BM27" s="9" t="str">
        <f t="shared" si="86"/>
        <v/>
      </c>
      <c r="BN27" s="3"/>
      <c r="BO27" s="1" t="s">
        <v>1</v>
      </c>
      <c r="BP27" s="5"/>
      <c r="BQ27" s="9" t="str">
        <f t="shared" si="87"/>
        <v/>
      </c>
      <c r="BR27" s="3"/>
      <c r="BS27" s="1" t="s">
        <v>1</v>
      </c>
      <c r="BT27" s="5"/>
      <c r="BU27" s="9" t="str">
        <f t="shared" si="88"/>
        <v/>
      </c>
      <c r="BV27" s="3"/>
      <c r="BW27" s="1" t="s">
        <v>1</v>
      </c>
      <c r="BX27" s="5"/>
      <c r="BY27" s="9" t="str">
        <f t="shared" si="89"/>
        <v/>
      </c>
      <c r="BZ27" s="3"/>
      <c r="CA27" s="1" t="s">
        <v>1</v>
      </c>
      <c r="CB27" s="5"/>
      <c r="CC27" s="9" t="str">
        <f t="shared" si="90"/>
        <v/>
      </c>
      <c r="CD27" s="3"/>
      <c r="CE27" s="1" t="s">
        <v>1</v>
      </c>
      <c r="CF27" s="5"/>
      <c r="CG27" s="9" t="str">
        <f t="shared" si="91"/>
        <v/>
      </c>
      <c r="CH27" s="3"/>
      <c r="CI27" s="1" t="s">
        <v>1</v>
      </c>
      <c r="CJ27" s="5"/>
      <c r="CK27" s="9" t="str">
        <f t="shared" si="92"/>
        <v/>
      </c>
      <c r="CL27" s="3"/>
      <c r="CM27" s="1" t="s">
        <v>1</v>
      </c>
      <c r="CN27" s="5"/>
      <c r="CO27" s="9" t="str">
        <f t="shared" si="93"/>
        <v/>
      </c>
      <c r="CP27" s="3"/>
      <c r="CQ27" s="1" t="s">
        <v>1</v>
      </c>
      <c r="CR27" s="5"/>
      <c r="CS27" s="9" t="str">
        <f t="shared" si="94"/>
        <v/>
      </c>
      <c r="CT27" s="3"/>
      <c r="CU27" s="1" t="s">
        <v>1</v>
      </c>
      <c r="CV27" s="5"/>
      <c r="CW27" s="9" t="str">
        <f t="shared" si="95"/>
        <v/>
      </c>
      <c r="CX27" s="3"/>
      <c r="CY27" s="1" t="s">
        <v>1</v>
      </c>
      <c r="CZ27" s="5"/>
      <c r="DA27" s="9" t="str">
        <f t="shared" si="96"/>
        <v/>
      </c>
      <c r="DB27" s="3"/>
      <c r="DC27" s="1" t="s">
        <v>1</v>
      </c>
      <c r="DD27" s="5"/>
      <c r="DE27" s="9" t="str">
        <f t="shared" si="97"/>
        <v/>
      </c>
      <c r="DF27" s="3"/>
      <c r="DG27" s="1" t="s">
        <v>1</v>
      </c>
      <c r="DH27" s="5"/>
      <c r="DI27" s="9" t="str">
        <f t="shared" si="98"/>
        <v/>
      </c>
    </row>
    <row r="28" spans="2:113" ht="15" thickBot="1" x14ac:dyDescent="0.35">
      <c r="B28" s="56" t="s">
        <v>77</v>
      </c>
      <c r="C28" s="57" t="s">
        <v>78</v>
      </c>
      <c r="D28" s="232" t="s">
        <v>119</v>
      </c>
      <c r="E28" s="233"/>
      <c r="F28" s="234"/>
      <c r="G28" s="53" t="s">
        <v>7</v>
      </c>
      <c r="H28" s="54"/>
      <c r="I28" s="55"/>
      <c r="J28" s="61"/>
      <c r="K28" s="62"/>
      <c r="L28" s="62"/>
      <c r="M28" s="63"/>
      <c r="N28" s="64"/>
      <c r="O28" s="65"/>
      <c r="P28" s="65"/>
      <c r="Q28" s="66"/>
      <c r="R28" s="67"/>
      <c r="S28" s="68"/>
      <c r="T28" s="68"/>
      <c r="U28" s="69"/>
      <c r="V28" s="109"/>
      <c r="W28" s="110"/>
      <c r="X28" s="110"/>
      <c r="Y28" s="111"/>
      <c r="Z28" s="70"/>
      <c r="AA28" s="71"/>
      <c r="AB28" s="71"/>
      <c r="AC28" s="72"/>
      <c r="AD28" s="73"/>
      <c r="AE28" s="74"/>
      <c r="AF28" s="74"/>
      <c r="AG28" s="75"/>
      <c r="AH28" s="76"/>
      <c r="AI28" s="77"/>
      <c r="AJ28" s="77"/>
      <c r="AK28" s="78"/>
      <c r="AL28" s="79"/>
      <c r="AM28" s="80"/>
      <c r="AN28" s="80"/>
      <c r="AO28" s="81"/>
      <c r="AP28" s="41"/>
      <c r="AQ28" s="42"/>
      <c r="AR28" s="42"/>
      <c r="AS28" s="43"/>
      <c r="AT28" s="82"/>
      <c r="AU28" s="83"/>
      <c r="AV28" s="83"/>
      <c r="AW28" s="84"/>
      <c r="AX28" s="85"/>
      <c r="AY28" s="86"/>
      <c r="AZ28" s="86"/>
      <c r="BA28" s="87"/>
      <c r="BB28" s="88"/>
      <c r="BC28" s="89"/>
      <c r="BD28" s="89"/>
      <c r="BE28" s="90"/>
      <c r="BF28" s="91"/>
      <c r="BG28" s="92"/>
      <c r="BH28" s="92"/>
      <c r="BI28" s="93"/>
      <c r="BJ28" s="94"/>
      <c r="BK28" s="95"/>
      <c r="BL28" s="95"/>
      <c r="BM28" s="96"/>
      <c r="BN28" s="34"/>
      <c r="BO28" s="36"/>
      <c r="BP28" s="36"/>
      <c r="BQ28" s="35"/>
      <c r="BR28" s="79"/>
      <c r="BS28" s="80"/>
      <c r="BT28" s="80"/>
      <c r="BU28" s="81"/>
      <c r="BV28" s="97"/>
      <c r="BW28" s="98"/>
      <c r="BX28" s="98"/>
      <c r="BY28" s="99"/>
      <c r="BZ28" s="41"/>
      <c r="CA28" s="42"/>
      <c r="CB28" s="42"/>
      <c r="CC28" s="43"/>
      <c r="CD28" s="100"/>
      <c r="CE28" s="101"/>
      <c r="CF28" s="101"/>
      <c r="CG28" s="102"/>
      <c r="CH28" s="103"/>
      <c r="CI28" s="104"/>
      <c r="CJ28" s="104"/>
      <c r="CK28" s="105"/>
      <c r="CL28" s="109"/>
      <c r="CM28" s="110"/>
      <c r="CN28" s="110"/>
      <c r="CO28" s="111"/>
      <c r="CP28" s="140"/>
      <c r="CQ28" s="141"/>
      <c r="CR28" s="141"/>
      <c r="CS28" s="142"/>
      <c r="CT28" s="85"/>
      <c r="CU28" s="86"/>
      <c r="CV28" s="86"/>
      <c r="CW28" s="87"/>
      <c r="CX28" s="133"/>
      <c r="CY28" s="134"/>
      <c r="CZ28" s="134"/>
      <c r="DA28" s="135"/>
      <c r="DB28" s="144"/>
      <c r="DC28" s="145"/>
      <c r="DD28" s="145"/>
      <c r="DE28" s="146"/>
      <c r="DF28" s="153"/>
      <c r="DG28" s="151"/>
      <c r="DH28" s="151"/>
      <c r="DI28" s="152"/>
    </row>
    <row r="29" spans="2:113" x14ac:dyDescent="0.3">
      <c r="B29" s="25">
        <v>46212</v>
      </c>
      <c r="C29" s="32">
        <v>0.91666666666666663</v>
      </c>
      <c r="D29" s="27"/>
      <c r="E29" s="28" t="s">
        <v>1</v>
      </c>
      <c r="F29" s="29"/>
      <c r="G29" s="27"/>
      <c r="H29" s="28" t="s">
        <v>1</v>
      </c>
      <c r="I29" s="29"/>
      <c r="J29" s="27"/>
      <c r="K29" s="28" t="s">
        <v>1</v>
      </c>
      <c r="L29" s="29"/>
      <c r="M29" s="11" t="str">
        <f>IF(ISBLANK($I29)=TRUE,"",IF(SIGN(J29-L29)=SIGN($G29-$I29),1,0)+IF(J29=$G29,IF(L29=$I29,2,0),0))</f>
        <v/>
      </c>
      <c r="N29" s="27"/>
      <c r="O29" s="28" t="s">
        <v>1</v>
      </c>
      <c r="P29" s="29"/>
      <c r="Q29" s="11" t="str">
        <f>IF(ISBLANK($I29)=TRUE,"",IF(SIGN(N29-P29)=SIGN($G29-$I29),1,0)+IF(N29=$G29,IF(P29=$I29,2,0),0))</f>
        <v/>
      </c>
      <c r="R29" s="27"/>
      <c r="S29" s="28" t="s">
        <v>1</v>
      </c>
      <c r="T29" s="29"/>
      <c r="U29" s="11" t="str">
        <f>IF(ISBLANK($I29)=TRUE,"",IF(SIGN(R29-T29)=SIGN($G29-$I29),1,0)+IF(R29=$G29,IF(T29=$I29,2,0),0))</f>
        <v/>
      </c>
      <c r="V29" s="27"/>
      <c r="W29" s="28" t="s">
        <v>1</v>
      </c>
      <c r="X29" s="29"/>
      <c r="Y29" s="11" t="str">
        <f>IF(ISBLANK($I29)=TRUE,"",IF(SIGN(V29-X29)=SIGN($G29-$I29),1,0)+IF(V29=$G29,IF(X29=$I29,2,0),0))</f>
        <v/>
      </c>
      <c r="Z29" s="27"/>
      <c r="AA29" s="28" t="s">
        <v>1</v>
      </c>
      <c r="AB29" s="29"/>
      <c r="AC29" s="11" t="str">
        <f>IF(ISBLANK($I29)=TRUE,"",IF(SIGN(Z29-AB29)=SIGN($G29-$I29),1,0)+IF(Z29=$G29,IF(AB29=$I29,2,0),0))</f>
        <v/>
      </c>
      <c r="AD29" s="27"/>
      <c r="AE29" s="28" t="s">
        <v>1</v>
      </c>
      <c r="AF29" s="29"/>
      <c r="AG29" s="11" t="str">
        <f>IF(ISBLANK($I29)=TRUE,"",IF(SIGN(AD29-AF29)=SIGN($G29-$I29),1,0)+IF(AD29=$G29,IF(AF29=$I29,2,0),0))</f>
        <v/>
      </c>
      <c r="AH29" s="27"/>
      <c r="AI29" s="28" t="s">
        <v>1</v>
      </c>
      <c r="AJ29" s="29"/>
      <c r="AK29" s="11" t="str">
        <f>IF(ISBLANK($I29)=TRUE,"",IF(SIGN(AH29-AJ29)=SIGN($G29-$I29),1,0)+IF(AH29=$G29,IF(AJ29=$I29,2,0),0))</f>
        <v/>
      </c>
      <c r="AL29" s="27"/>
      <c r="AM29" s="28" t="s">
        <v>1</v>
      </c>
      <c r="AN29" s="29"/>
      <c r="AO29" s="11" t="str">
        <f>IF(ISBLANK($I29)=TRUE,"",IF(SIGN(AL29-AN29)=SIGN($G29-$I29),1,0)+IF(AL29=$G29,IF(AN29=$I29,2,0),0))</f>
        <v/>
      </c>
      <c r="AP29" s="27"/>
      <c r="AQ29" s="28" t="s">
        <v>1</v>
      </c>
      <c r="AR29" s="29"/>
      <c r="AS29" s="11" t="str">
        <f>IF(ISBLANK($I29)=TRUE,"",IF(SIGN(AP29-AR29)=SIGN($G29-$I29),1,0)+IF(AP29=$G29,IF(AR29=$I29,2,0),0))</f>
        <v/>
      </c>
      <c r="AT29" s="27"/>
      <c r="AU29" s="28" t="s">
        <v>1</v>
      </c>
      <c r="AV29" s="29"/>
      <c r="AW29" s="11" t="str">
        <f>IF(ISBLANK($I29)=TRUE,"",IF(SIGN(AT29-AV29)=SIGN($G29-$I29),1,0)+IF(AT29=$G29,IF(AV29=$I29,2,0),0))</f>
        <v/>
      </c>
      <c r="AX29" s="27"/>
      <c r="AY29" s="28" t="s">
        <v>1</v>
      </c>
      <c r="AZ29" s="29"/>
      <c r="BA29" s="11" t="str">
        <f>IF(ISBLANK($I29)=TRUE,"",IF(SIGN(AX29-AZ29)=SIGN($G29-$I29),1,0)+IF(AX29=$G29,IF(AZ29=$I29,2,0),0))</f>
        <v/>
      </c>
      <c r="BB29" s="27"/>
      <c r="BC29" s="28" t="s">
        <v>1</v>
      </c>
      <c r="BD29" s="29"/>
      <c r="BE29" s="11" t="str">
        <f>IF(ISBLANK($I29)=TRUE,"",IF(SIGN(BB29-BD29)=SIGN($G29-$I29),1,0)+IF(BB29=$G29,IF(BD29=$I29,2,0),0))</f>
        <v/>
      </c>
      <c r="BF29" s="27"/>
      <c r="BG29" s="28" t="s">
        <v>1</v>
      </c>
      <c r="BH29" s="29"/>
      <c r="BI29" s="11" t="str">
        <f>IF(ISBLANK($I29)=TRUE,"",IF(SIGN(BF29-BH29)=SIGN($G29-$I29),1,0)+IF(BF29=$G29,IF(BH29=$I29,2,0),0))</f>
        <v/>
      </c>
      <c r="BJ29" s="27"/>
      <c r="BK29" s="28" t="s">
        <v>1</v>
      </c>
      <c r="BL29" s="29"/>
      <c r="BM29" s="11" t="str">
        <f>IF(ISBLANK($I29)=TRUE,"",IF(SIGN(BJ29-BL29)=SIGN($G29-$I29),1,0)+IF(BJ29=$G29,IF(BL29=$I29,2,0),0))</f>
        <v/>
      </c>
      <c r="BN29" s="27"/>
      <c r="BO29" s="28" t="s">
        <v>1</v>
      </c>
      <c r="BP29" s="29"/>
      <c r="BQ29" s="11" t="str">
        <f>IF(ISBLANK($I29)=TRUE,"",IF(SIGN(BN29-BP29)=SIGN($G29-$I29),1,0)+IF(BN29=$G29,IF(BP29=$I29,2,0),0))</f>
        <v/>
      </c>
      <c r="BR29" s="27"/>
      <c r="BS29" s="28" t="s">
        <v>1</v>
      </c>
      <c r="BT29" s="29"/>
      <c r="BU29" s="11" t="str">
        <f>IF(ISBLANK($I29)=TRUE,"",IF(SIGN(BR29-BT29)=SIGN($G29-$I29),1,0)+IF(BR29=$G29,IF(BT29=$I29,2,0),0))</f>
        <v/>
      </c>
      <c r="BV29" s="27"/>
      <c r="BW29" s="28" t="s">
        <v>1</v>
      </c>
      <c r="BX29" s="29"/>
      <c r="BY29" s="11" t="str">
        <f>IF(ISBLANK($I29)=TRUE,"",IF(SIGN(BV29-BX29)=SIGN($G29-$I29),1,0)+IF(BV29=$G29,IF(BX29=$I29,2,0),0))</f>
        <v/>
      </c>
      <c r="BZ29" s="27"/>
      <c r="CA29" s="28" t="s">
        <v>1</v>
      </c>
      <c r="CB29" s="29"/>
      <c r="CC29" s="11" t="str">
        <f>IF(ISBLANK($I29)=TRUE,"",IF(SIGN(BZ29-CB29)=SIGN($G29-$I29),1,0)+IF(BZ29=$G29,IF(CB29=$I29,2,0),0))</f>
        <v/>
      </c>
      <c r="CD29" s="27"/>
      <c r="CE29" s="28" t="s">
        <v>1</v>
      </c>
      <c r="CF29" s="29"/>
      <c r="CG29" s="11" t="str">
        <f>IF(ISBLANK($I29)=TRUE,"",IF(SIGN(CD29-CF29)=SIGN($G29-$I29),1,0)+IF(CD29=$G29,IF(CF29=$I29,2,0),0))</f>
        <v/>
      </c>
      <c r="CH29" s="27"/>
      <c r="CI29" s="28" t="s">
        <v>1</v>
      </c>
      <c r="CJ29" s="29"/>
      <c r="CK29" s="11" t="str">
        <f>IF(ISBLANK($I29)=TRUE,"",IF(SIGN(CH29-CJ29)=SIGN($G29-$I29),1,0)+IF(CH29=$G29,IF(CJ29=$I29,2,0),0))</f>
        <v/>
      </c>
      <c r="CL29" s="27"/>
      <c r="CM29" s="28" t="s">
        <v>1</v>
      </c>
      <c r="CN29" s="29"/>
      <c r="CO29" s="11" t="str">
        <f>IF(ISBLANK($I29)=TRUE,"",IF(SIGN(CL29-CN29)=SIGN($G29-$I29),1,0)+IF(CL29=$G29,IF(CN29=$I29,2,0),0))</f>
        <v/>
      </c>
      <c r="CP29" s="27"/>
      <c r="CQ29" s="28" t="s">
        <v>1</v>
      </c>
      <c r="CR29" s="29"/>
      <c r="CS29" s="11" t="str">
        <f>IF(ISBLANK($I29)=TRUE,"",IF(SIGN(CP29-CR29)=SIGN($G29-$I29),1,0)+IF(CP29=$G29,IF(CR29=$I29,2,0),0))</f>
        <v/>
      </c>
      <c r="CT29" s="27"/>
      <c r="CU29" s="28" t="s">
        <v>1</v>
      </c>
      <c r="CV29" s="29"/>
      <c r="CW29" s="11" t="str">
        <f>IF(ISBLANK($I29)=TRUE,"",IF(SIGN(CT29-CV29)=SIGN($G29-$I29),1,0)+IF(CT29=$G29,IF(CV29=$I29,2,0),0))</f>
        <v/>
      </c>
      <c r="CX29" s="27"/>
      <c r="CY29" s="28" t="s">
        <v>1</v>
      </c>
      <c r="CZ29" s="29"/>
      <c r="DA29" s="11" t="str">
        <f>IF(ISBLANK($I29)=TRUE,"",IF(SIGN(CX29-CZ29)=SIGN($G29-$I29),1,0)+IF(CX29=$G29,IF(CZ29=$I29,2,0),0))</f>
        <v/>
      </c>
      <c r="DB29" s="27"/>
      <c r="DC29" s="28" t="s">
        <v>1</v>
      </c>
      <c r="DD29" s="29"/>
      <c r="DE29" s="11" t="str">
        <f>IF(ISBLANK($I29)=TRUE,"",IF(SIGN(DB29-DD29)=SIGN($G29-$I29),1,0)+IF(DB29=$G29,IF(DD29=$I29,2,0),0))</f>
        <v/>
      </c>
      <c r="DF29" s="27"/>
      <c r="DG29" s="28" t="s">
        <v>1</v>
      </c>
      <c r="DH29" s="29"/>
      <c r="DI29" s="11" t="str">
        <f>IF(ISBLANK($I29)=TRUE,"",IF(SIGN(DF29-DH29)=SIGN($G29-$I29),1,0)+IF(DF29=$G29,IF(DH29=$I29,2,0),0))</f>
        <v/>
      </c>
    </row>
    <row r="30" spans="2:113" x14ac:dyDescent="0.3">
      <c r="B30" s="12">
        <v>46213</v>
      </c>
      <c r="C30" s="33">
        <v>0.875</v>
      </c>
      <c r="D30" s="3"/>
      <c r="E30" s="1" t="s">
        <v>1</v>
      </c>
      <c r="F30" s="5"/>
      <c r="G30" s="3"/>
      <c r="H30" s="1" t="s">
        <v>1</v>
      </c>
      <c r="I30" s="5"/>
      <c r="J30" s="3"/>
      <c r="K30" s="1" t="s">
        <v>1</v>
      </c>
      <c r="L30" s="5"/>
      <c r="M30" s="9" t="str">
        <f t="shared" ref="M30:M32" si="100">IF(ISBLANK($G30)=TRUE,"",IF(SIGN(J30-L30)=SIGN($G30-$I30),1,0)+IF(J30=$G30,IF(L30=$I30,2,0),0))</f>
        <v/>
      </c>
      <c r="N30" s="3"/>
      <c r="O30" s="1" t="s">
        <v>1</v>
      </c>
      <c r="P30" s="5"/>
      <c r="Q30" s="9" t="str">
        <f t="shared" ref="Q30:Q32" si="101">IF(ISBLANK($G30)=TRUE,"",IF(SIGN(N30-P30)=SIGN($G30-$I30),1,0)+IF(N30=$G30,IF(P30=$I30,2,0),0))</f>
        <v/>
      </c>
      <c r="R30" s="3"/>
      <c r="S30" s="1" t="s">
        <v>1</v>
      </c>
      <c r="T30" s="5"/>
      <c r="U30" s="9" t="str">
        <f t="shared" ref="U30:U32" si="102">IF(ISBLANK($G30)=TRUE,"",IF(SIGN(R30-T30)=SIGN($G30-$I30),1,0)+IF(R30=$G30,IF(T30=$I30,2,0),0))</f>
        <v/>
      </c>
      <c r="V30" s="3"/>
      <c r="W30" s="1" t="s">
        <v>1</v>
      </c>
      <c r="X30" s="5"/>
      <c r="Y30" s="9" t="str">
        <f t="shared" ref="Y30:Y32" si="103">IF(ISBLANK($G30)=TRUE,"",IF(SIGN(V30-X30)=SIGN($G30-$I30),1,0)+IF(V30=$G30,IF(X30=$I30,2,0),0))</f>
        <v/>
      </c>
      <c r="Z30" s="3"/>
      <c r="AA30" s="1" t="s">
        <v>1</v>
      </c>
      <c r="AB30" s="5"/>
      <c r="AC30" s="9" t="str">
        <f t="shared" ref="AC30:AC32" si="104">IF(ISBLANK($G30)=TRUE,"",IF(SIGN(Z30-AB30)=SIGN($G30-$I30),1,0)+IF(Z30=$G30,IF(AB30=$I30,2,0),0))</f>
        <v/>
      </c>
      <c r="AD30" s="3"/>
      <c r="AE30" s="1" t="s">
        <v>1</v>
      </c>
      <c r="AF30" s="5"/>
      <c r="AG30" s="9" t="str">
        <f t="shared" ref="AG30:AG32" si="105">IF(ISBLANK($G30)=TRUE,"",IF(SIGN(AD30-AF30)=SIGN($G30-$I30),1,0)+IF(AD30=$G30,IF(AF30=$I30,2,0),0))</f>
        <v/>
      </c>
      <c r="AH30" s="3"/>
      <c r="AI30" s="1" t="s">
        <v>1</v>
      </c>
      <c r="AJ30" s="5"/>
      <c r="AK30" s="9" t="str">
        <f t="shared" ref="AK30:AK32" si="106">IF(ISBLANK($G30)=TRUE,"",IF(SIGN(AH30-AJ30)=SIGN($G30-$I30),1,0)+IF(AH30=$G30,IF(AJ30=$I30,2,0),0))</f>
        <v/>
      </c>
      <c r="AL30" s="3"/>
      <c r="AM30" s="1" t="s">
        <v>1</v>
      </c>
      <c r="AN30" s="5"/>
      <c r="AO30" s="9" t="str">
        <f t="shared" ref="AO30:AO32" si="107">IF(ISBLANK($G30)=TRUE,"",IF(SIGN(AL30-AN30)=SIGN($G30-$I30),1,0)+IF(AL30=$G30,IF(AN30=$I30,2,0),0))</f>
        <v/>
      </c>
      <c r="AP30" s="3"/>
      <c r="AQ30" s="1" t="s">
        <v>1</v>
      </c>
      <c r="AR30" s="5"/>
      <c r="AS30" s="9" t="str">
        <f t="shared" ref="AS30:AS32" si="108">IF(ISBLANK($G30)=TRUE,"",IF(SIGN(AP30-AR30)=SIGN($G30-$I30),1,0)+IF(AP30=$G30,IF(AR30=$I30,2,0),0))</f>
        <v/>
      </c>
      <c r="AT30" s="3"/>
      <c r="AU30" s="1" t="s">
        <v>1</v>
      </c>
      <c r="AV30" s="5"/>
      <c r="AW30" s="9" t="str">
        <f t="shared" ref="AW30:AW32" si="109">IF(ISBLANK($G30)=TRUE,"",IF(SIGN(AT30-AV30)=SIGN($G30-$I30),1,0)+IF(AT30=$G30,IF(AV30=$I30,2,0),0))</f>
        <v/>
      </c>
      <c r="AX30" s="3"/>
      <c r="AY30" s="1" t="s">
        <v>1</v>
      </c>
      <c r="AZ30" s="5"/>
      <c r="BA30" s="9" t="str">
        <f t="shared" ref="BA30:BA32" si="110">IF(ISBLANK($G30)=TRUE,"",IF(SIGN(AX30-AZ30)=SIGN($G30-$I30),1,0)+IF(AX30=$G30,IF(AZ30=$I30,2,0),0))</f>
        <v/>
      </c>
      <c r="BB30" s="3"/>
      <c r="BC30" s="1" t="s">
        <v>1</v>
      </c>
      <c r="BD30" s="5"/>
      <c r="BE30" s="9" t="str">
        <f t="shared" ref="BE30:BE32" si="111">IF(ISBLANK($G30)=TRUE,"",IF(SIGN(BB30-BD30)=SIGN($G30-$I30),1,0)+IF(BB30=$G30,IF(BD30=$I30,2,0),0))</f>
        <v/>
      </c>
      <c r="BF30" s="3"/>
      <c r="BG30" s="1" t="s">
        <v>1</v>
      </c>
      <c r="BH30" s="5"/>
      <c r="BI30" s="9" t="str">
        <f t="shared" ref="BI30:BI32" si="112">IF(ISBLANK($G30)=TRUE,"",IF(SIGN(BF30-BH30)=SIGN($G30-$I30),1,0)+IF(BF30=$G30,IF(BH30=$I30,2,0),0))</f>
        <v/>
      </c>
      <c r="BJ30" s="3"/>
      <c r="BK30" s="1" t="s">
        <v>1</v>
      </c>
      <c r="BL30" s="5"/>
      <c r="BM30" s="9" t="str">
        <f t="shared" ref="BM30:BM32" si="113">IF(ISBLANK($G30)=TRUE,"",IF(SIGN(BJ30-BL30)=SIGN($G30-$I30),1,0)+IF(BJ30=$G30,IF(BL30=$I30,2,0),0))</f>
        <v/>
      </c>
      <c r="BN30" s="3"/>
      <c r="BO30" s="1" t="s">
        <v>1</v>
      </c>
      <c r="BP30" s="5"/>
      <c r="BQ30" s="9" t="str">
        <f t="shared" ref="BQ30:BQ32" si="114">IF(ISBLANK($G30)=TRUE,"",IF(SIGN(BN30-BP30)=SIGN($G30-$I30),1,0)+IF(BN30=$G30,IF(BP30=$I30,2,0),0))</f>
        <v/>
      </c>
      <c r="BR30" s="3"/>
      <c r="BS30" s="1" t="s">
        <v>1</v>
      </c>
      <c r="BT30" s="5"/>
      <c r="BU30" s="9" t="str">
        <f t="shared" ref="BU30:BU32" si="115">IF(ISBLANK($G30)=TRUE,"",IF(SIGN(BR30-BT30)=SIGN($G30-$I30),1,0)+IF(BR30=$G30,IF(BT30=$I30,2,0),0))</f>
        <v/>
      </c>
      <c r="BV30" s="3"/>
      <c r="BW30" s="1" t="s">
        <v>1</v>
      </c>
      <c r="BX30" s="5"/>
      <c r="BY30" s="9" t="str">
        <f t="shared" ref="BY30:BY32" si="116">IF(ISBLANK($G30)=TRUE,"",IF(SIGN(BV30-BX30)=SIGN($G30-$I30),1,0)+IF(BV30=$G30,IF(BX30=$I30,2,0),0))</f>
        <v/>
      </c>
      <c r="BZ30" s="3"/>
      <c r="CA30" s="1" t="s">
        <v>1</v>
      </c>
      <c r="CB30" s="5"/>
      <c r="CC30" s="9" t="str">
        <f t="shared" ref="CC30:CC32" si="117">IF(ISBLANK($G30)=TRUE,"",IF(SIGN(BZ30-CB30)=SIGN($G30-$I30),1,0)+IF(BZ30=$G30,IF(CB30=$I30,2,0),0))</f>
        <v/>
      </c>
      <c r="CD30" s="3"/>
      <c r="CE30" s="1" t="s">
        <v>1</v>
      </c>
      <c r="CF30" s="5"/>
      <c r="CG30" s="9" t="str">
        <f t="shared" ref="CG30:CG32" si="118">IF(ISBLANK($G30)=TRUE,"",IF(SIGN(CD30-CF30)=SIGN($G30-$I30),1,0)+IF(CD30=$G30,IF(CF30=$I30,2,0),0))</f>
        <v/>
      </c>
      <c r="CH30" s="3"/>
      <c r="CI30" s="1" t="s">
        <v>1</v>
      </c>
      <c r="CJ30" s="5"/>
      <c r="CK30" s="9" t="str">
        <f t="shared" ref="CK30:CK32" si="119">IF(ISBLANK($G30)=TRUE,"",IF(SIGN(CH30-CJ30)=SIGN($G30-$I30),1,0)+IF(CH30=$G30,IF(CJ30=$I30,2,0),0))</f>
        <v/>
      </c>
      <c r="CL30" s="3"/>
      <c r="CM30" s="1" t="s">
        <v>1</v>
      </c>
      <c r="CN30" s="5"/>
      <c r="CO30" s="9" t="str">
        <f t="shared" ref="CO30:CO32" si="120">IF(ISBLANK($G30)=TRUE,"",IF(SIGN(CL30-CN30)=SIGN($G30-$I30),1,0)+IF(CL30=$G30,IF(CN30=$I30,2,0),0))</f>
        <v/>
      </c>
      <c r="CP30" s="3"/>
      <c r="CQ30" s="1" t="s">
        <v>1</v>
      </c>
      <c r="CR30" s="5"/>
      <c r="CS30" s="9" t="str">
        <f t="shared" ref="CS30:CS32" si="121">IF(ISBLANK($G30)=TRUE,"",IF(SIGN(CP30-CR30)=SIGN($G30-$I30),1,0)+IF(CP30=$G30,IF(CR30=$I30,2,0),0))</f>
        <v/>
      </c>
      <c r="CT30" s="3"/>
      <c r="CU30" s="1" t="s">
        <v>1</v>
      </c>
      <c r="CV30" s="5"/>
      <c r="CW30" s="9" t="str">
        <f t="shared" ref="CW30:CW32" si="122">IF(ISBLANK($G30)=TRUE,"",IF(SIGN(CT30-CV30)=SIGN($G30-$I30),1,0)+IF(CT30=$G30,IF(CV30=$I30,2,0),0))</f>
        <v/>
      </c>
      <c r="CX30" s="3"/>
      <c r="CY30" s="1" t="s">
        <v>1</v>
      </c>
      <c r="CZ30" s="5"/>
      <c r="DA30" s="9" t="str">
        <f t="shared" ref="DA30:DA32" si="123">IF(ISBLANK($G30)=TRUE,"",IF(SIGN(CX30-CZ30)=SIGN($G30-$I30),1,0)+IF(CX30=$G30,IF(CZ30=$I30,2,0),0))</f>
        <v/>
      </c>
      <c r="DB30" s="3"/>
      <c r="DC30" s="1" t="s">
        <v>1</v>
      </c>
      <c r="DD30" s="5"/>
      <c r="DE30" s="9" t="str">
        <f t="shared" ref="DE30:DE32" si="124">IF(ISBLANK($G30)=TRUE,"",IF(SIGN(DB30-DD30)=SIGN($G30-$I30),1,0)+IF(DB30=$G30,IF(DD30=$I30,2,0),0))</f>
        <v/>
      </c>
      <c r="DF30" s="3"/>
      <c r="DG30" s="1" t="s">
        <v>1</v>
      </c>
      <c r="DH30" s="5"/>
      <c r="DI30" s="9" t="str">
        <f t="shared" ref="DI30:DI32" si="125">IF(ISBLANK($G30)=TRUE,"",IF(SIGN(DF30-DH30)=SIGN($G30-$I30),1,0)+IF(DF30=$G30,IF(DH30=$I30,2,0),0))</f>
        <v/>
      </c>
    </row>
    <row r="31" spans="2:113" x14ac:dyDescent="0.3">
      <c r="B31" s="12">
        <v>46214</v>
      </c>
      <c r="C31" s="33">
        <v>0.95833333333333337</v>
      </c>
      <c r="D31" s="3"/>
      <c r="E31" s="1" t="s">
        <v>1</v>
      </c>
      <c r="F31" s="5"/>
      <c r="G31" s="3"/>
      <c r="H31" s="1" t="s">
        <v>1</v>
      </c>
      <c r="I31" s="5"/>
      <c r="J31" s="3"/>
      <c r="K31" s="1" t="s">
        <v>1</v>
      </c>
      <c r="L31" s="5"/>
      <c r="M31" s="9" t="str">
        <f t="shared" si="100"/>
        <v/>
      </c>
      <c r="N31" s="3"/>
      <c r="O31" s="1" t="s">
        <v>1</v>
      </c>
      <c r="P31" s="5"/>
      <c r="Q31" s="9" t="str">
        <f t="shared" si="101"/>
        <v/>
      </c>
      <c r="R31" s="3"/>
      <c r="S31" s="1" t="s">
        <v>1</v>
      </c>
      <c r="T31" s="5"/>
      <c r="U31" s="9" t="str">
        <f t="shared" si="102"/>
        <v/>
      </c>
      <c r="V31" s="3"/>
      <c r="W31" s="1" t="s">
        <v>1</v>
      </c>
      <c r="X31" s="5"/>
      <c r="Y31" s="9" t="str">
        <f t="shared" si="103"/>
        <v/>
      </c>
      <c r="Z31" s="3"/>
      <c r="AA31" s="1" t="s">
        <v>1</v>
      </c>
      <c r="AB31" s="5"/>
      <c r="AC31" s="9" t="str">
        <f t="shared" si="104"/>
        <v/>
      </c>
      <c r="AD31" s="3"/>
      <c r="AE31" s="1" t="s">
        <v>1</v>
      </c>
      <c r="AF31" s="5"/>
      <c r="AG31" s="9" t="str">
        <f t="shared" si="105"/>
        <v/>
      </c>
      <c r="AH31" s="3"/>
      <c r="AI31" s="1" t="s">
        <v>1</v>
      </c>
      <c r="AJ31" s="5"/>
      <c r="AK31" s="9" t="str">
        <f t="shared" si="106"/>
        <v/>
      </c>
      <c r="AL31" s="3"/>
      <c r="AM31" s="1" t="s">
        <v>1</v>
      </c>
      <c r="AN31" s="5"/>
      <c r="AO31" s="9" t="str">
        <f t="shared" si="107"/>
        <v/>
      </c>
      <c r="AP31" s="3"/>
      <c r="AQ31" s="1" t="s">
        <v>1</v>
      </c>
      <c r="AR31" s="5"/>
      <c r="AS31" s="9" t="str">
        <f t="shared" si="108"/>
        <v/>
      </c>
      <c r="AT31" s="3"/>
      <c r="AU31" s="1" t="s">
        <v>1</v>
      </c>
      <c r="AV31" s="5"/>
      <c r="AW31" s="9" t="str">
        <f t="shared" si="109"/>
        <v/>
      </c>
      <c r="AX31" s="3"/>
      <c r="AY31" s="1" t="s">
        <v>1</v>
      </c>
      <c r="AZ31" s="5"/>
      <c r="BA31" s="9" t="str">
        <f t="shared" si="110"/>
        <v/>
      </c>
      <c r="BB31" s="3"/>
      <c r="BC31" s="1" t="s">
        <v>1</v>
      </c>
      <c r="BD31" s="5"/>
      <c r="BE31" s="9" t="str">
        <f t="shared" si="111"/>
        <v/>
      </c>
      <c r="BF31" s="3"/>
      <c r="BG31" s="1" t="s">
        <v>1</v>
      </c>
      <c r="BH31" s="5"/>
      <c r="BI31" s="9" t="str">
        <f t="shared" si="112"/>
        <v/>
      </c>
      <c r="BJ31" s="3"/>
      <c r="BK31" s="1" t="s">
        <v>1</v>
      </c>
      <c r="BL31" s="5"/>
      <c r="BM31" s="9" t="str">
        <f t="shared" si="113"/>
        <v/>
      </c>
      <c r="BN31" s="3"/>
      <c r="BO31" s="1" t="s">
        <v>1</v>
      </c>
      <c r="BP31" s="5"/>
      <c r="BQ31" s="9" t="str">
        <f t="shared" si="114"/>
        <v/>
      </c>
      <c r="BR31" s="3"/>
      <c r="BS31" s="1" t="s">
        <v>1</v>
      </c>
      <c r="BT31" s="5"/>
      <c r="BU31" s="9" t="str">
        <f t="shared" si="115"/>
        <v/>
      </c>
      <c r="BV31" s="3"/>
      <c r="BW31" s="1" t="s">
        <v>1</v>
      </c>
      <c r="BX31" s="5"/>
      <c r="BY31" s="9" t="str">
        <f t="shared" si="116"/>
        <v/>
      </c>
      <c r="BZ31" s="3"/>
      <c r="CA31" s="1" t="s">
        <v>1</v>
      </c>
      <c r="CB31" s="5"/>
      <c r="CC31" s="9" t="str">
        <f t="shared" si="117"/>
        <v/>
      </c>
      <c r="CD31" s="3"/>
      <c r="CE31" s="1" t="s">
        <v>1</v>
      </c>
      <c r="CF31" s="5"/>
      <c r="CG31" s="9" t="str">
        <f t="shared" si="118"/>
        <v/>
      </c>
      <c r="CH31" s="3"/>
      <c r="CI31" s="1" t="s">
        <v>1</v>
      </c>
      <c r="CJ31" s="5"/>
      <c r="CK31" s="9" t="str">
        <f t="shared" si="119"/>
        <v/>
      </c>
      <c r="CL31" s="3"/>
      <c r="CM31" s="1" t="s">
        <v>1</v>
      </c>
      <c r="CN31" s="5"/>
      <c r="CO31" s="9" t="str">
        <f t="shared" si="120"/>
        <v/>
      </c>
      <c r="CP31" s="3"/>
      <c r="CQ31" s="1" t="s">
        <v>1</v>
      </c>
      <c r="CR31" s="5"/>
      <c r="CS31" s="9" t="str">
        <f t="shared" si="121"/>
        <v/>
      </c>
      <c r="CT31" s="3"/>
      <c r="CU31" s="1" t="s">
        <v>1</v>
      </c>
      <c r="CV31" s="5"/>
      <c r="CW31" s="9" t="str">
        <f t="shared" si="122"/>
        <v/>
      </c>
      <c r="CX31" s="3"/>
      <c r="CY31" s="1" t="s">
        <v>1</v>
      </c>
      <c r="CZ31" s="5"/>
      <c r="DA31" s="9" t="str">
        <f t="shared" si="123"/>
        <v/>
      </c>
      <c r="DB31" s="3"/>
      <c r="DC31" s="1" t="s">
        <v>1</v>
      </c>
      <c r="DD31" s="5"/>
      <c r="DE31" s="9" t="str">
        <f t="shared" si="124"/>
        <v/>
      </c>
      <c r="DF31" s="3"/>
      <c r="DG31" s="1" t="s">
        <v>1</v>
      </c>
      <c r="DH31" s="5"/>
      <c r="DI31" s="9" t="str">
        <f t="shared" si="125"/>
        <v/>
      </c>
    </row>
    <row r="32" spans="2:113" ht="15" thickBot="1" x14ac:dyDescent="0.35">
      <c r="B32" s="12">
        <v>46215</v>
      </c>
      <c r="C32" s="33">
        <v>0.125</v>
      </c>
      <c r="D32" s="3"/>
      <c r="E32" s="1" t="s">
        <v>1</v>
      </c>
      <c r="F32" s="5"/>
      <c r="G32" s="3"/>
      <c r="H32" s="1" t="s">
        <v>1</v>
      </c>
      <c r="I32" s="5"/>
      <c r="J32" s="3"/>
      <c r="K32" s="1" t="s">
        <v>1</v>
      </c>
      <c r="L32" s="5"/>
      <c r="M32" s="9" t="str">
        <f t="shared" si="100"/>
        <v/>
      </c>
      <c r="N32" s="3"/>
      <c r="O32" s="1" t="s">
        <v>1</v>
      </c>
      <c r="P32" s="5"/>
      <c r="Q32" s="9" t="str">
        <f t="shared" si="101"/>
        <v/>
      </c>
      <c r="R32" s="3"/>
      <c r="S32" s="1" t="s">
        <v>1</v>
      </c>
      <c r="T32" s="5"/>
      <c r="U32" s="9" t="str">
        <f t="shared" si="102"/>
        <v/>
      </c>
      <c r="V32" s="3"/>
      <c r="W32" s="1" t="s">
        <v>1</v>
      </c>
      <c r="X32" s="5"/>
      <c r="Y32" s="9" t="str">
        <f t="shared" si="103"/>
        <v/>
      </c>
      <c r="Z32" s="3"/>
      <c r="AA32" s="1" t="s">
        <v>1</v>
      </c>
      <c r="AB32" s="5"/>
      <c r="AC32" s="9" t="str">
        <f t="shared" si="104"/>
        <v/>
      </c>
      <c r="AD32" s="3"/>
      <c r="AE32" s="1" t="s">
        <v>1</v>
      </c>
      <c r="AF32" s="5"/>
      <c r="AG32" s="9" t="str">
        <f t="shared" si="105"/>
        <v/>
      </c>
      <c r="AH32" s="3"/>
      <c r="AI32" s="1" t="s">
        <v>1</v>
      </c>
      <c r="AJ32" s="5"/>
      <c r="AK32" s="9" t="str">
        <f t="shared" si="106"/>
        <v/>
      </c>
      <c r="AL32" s="3"/>
      <c r="AM32" s="1" t="s">
        <v>1</v>
      </c>
      <c r="AN32" s="5"/>
      <c r="AO32" s="9" t="str">
        <f t="shared" si="107"/>
        <v/>
      </c>
      <c r="AP32" s="3"/>
      <c r="AQ32" s="1" t="s">
        <v>1</v>
      </c>
      <c r="AR32" s="5"/>
      <c r="AS32" s="9" t="str">
        <f t="shared" si="108"/>
        <v/>
      </c>
      <c r="AT32" s="3"/>
      <c r="AU32" s="1" t="s">
        <v>1</v>
      </c>
      <c r="AV32" s="5"/>
      <c r="AW32" s="9" t="str">
        <f t="shared" si="109"/>
        <v/>
      </c>
      <c r="AX32" s="3"/>
      <c r="AY32" s="1" t="s">
        <v>1</v>
      </c>
      <c r="AZ32" s="5"/>
      <c r="BA32" s="9" t="str">
        <f t="shared" si="110"/>
        <v/>
      </c>
      <c r="BB32" s="3"/>
      <c r="BC32" s="1" t="s">
        <v>1</v>
      </c>
      <c r="BD32" s="5"/>
      <c r="BE32" s="9" t="str">
        <f t="shared" si="111"/>
        <v/>
      </c>
      <c r="BF32" s="3"/>
      <c r="BG32" s="1" t="s">
        <v>1</v>
      </c>
      <c r="BH32" s="5"/>
      <c r="BI32" s="9" t="str">
        <f t="shared" si="112"/>
        <v/>
      </c>
      <c r="BJ32" s="3"/>
      <c r="BK32" s="1" t="s">
        <v>1</v>
      </c>
      <c r="BL32" s="5"/>
      <c r="BM32" s="9" t="str">
        <f t="shared" si="113"/>
        <v/>
      </c>
      <c r="BN32" s="3"/>
      <c r="BO32" s="1" t="s">
        <v>1</v>
      </c>
      <c r="BP32" s="5"/>
      <c r="BQ32" s="9" t="str">
        <f t="shared" si="114"/>
        <v/>
      </c>
      <c r="BR32" s="3"/>
      <c r="BS32" s="1" t="s">
        <v>1</v>
      </c>
      <c r="BT32" s="5"/>
      <c r="BU32" s="9" t="str">
        <f t="shared" si="115"/>
        <v/>
      </c>
      <c r="BV32" s="3"/>
      <c r="BW32" s="1" t="s">
        <v>1</v>
      </c>
      <c r="BX32" s="5"/>
      <c r="BY32" s="9" t="str">
        <f t="shared" si="116"/>
        <v/>
      </c>
      <c r="BZ32" s="3"/>
      <c r="CA32" s="1" t="s">
        <v>1</v>
      </c>
      <c r="CB32" s="5"/>
      <c r="CC32" s="9" t="str">
        <f t="shared" si="117"/>
        <v/>
      </c>
      <c r="CD32" s="3"/>
      <c r="CE32" s="1" t="s">
        <v>1</v>
      </c>
      <c r="CF32" s="5"/>
      <c r="CG32" s="9" t="str">
        <f t="shared" si="118"/>
        <v/>
      </c>
      <c r="CH32" s="3"/>
      <c r="CI32" s="1" t="s">
        <v>1</v>
      </c>
      <c r="CJ32" s="5"/>
      <c r="CK32" s="9" t="str">
        <f t="shared" si="119"/>
        <v/>
      </c>
      <c r="CL32" s="3"/>
      <c r="CM32" s="1" t="s">
        <v>1</v>
      </c>
      <c r="CN32" s="5"/>
      <c r="CO32" s="9" t="str">
        <f t="shared" si="120"/>
        <v/>
      </c>
      <c r="CP32" s="3"/>
      <c r="CQ32" s="1" t="s">
        <v>1</v>
      </c>
      <c r="CR32" s="5"/>
      <c r="CS32" s="9" t="str">
        <f t="shared" si="121"/>
        <v/>
      </c>
      <c r="CT32" s="3"/>
      <c r="CU32" s="1" t="s">
        <v>1</v>
      </c>
      <c r="CV32" s="5"/>
      <c r="CW32" s="9" t="str">
        <f t="shared" si="122"/>
        <v/>
      </c>
      <c r="CX32" s="3"/>
      <c r="CY32" s="1" t="s">
        <v>1</v>
      </c>
      <c r="CZ32" s="5"/>
      <c r="DA32" s="9" t="str">
        <f t="shared" si="123"/>
        <v/>
      </c>
      <c r="DB32" s="3"/>
      <c r="DC32" s="1" t="s">
        <v>1</v>
      </c>
      <c r="DD32" s="5"/>
      <c r="DE32" s="9" t="str">
        <f t="shared" si="124"/>
        <v/>
      </c>
      <c r="DF32" s="3"/>
      <c r="DG32" s="1" t="s">
        <v>1</v>
      </c>
      <c r="DH32" s="5"/>
      <c r="DI32" s="9" t="str">
        <f t="shared" si="125"/>
        <v/>
      </c>
    </row>
    <row r="33" spans="2:113" ht="15" thickBot="1" x14ac:dyDescent="0.35">
      <c r="B33" s="56" t="s">
        <v>77</v>
      </c>
      <c r="C33" s="57" t="s">
        <v>78</v>
      </c>
      <c r="D33" s="232" t="s">
        <v>120</v>
      </c>
      <c r="E33" s="233"/>
      <c r="F33" s="234"/>
      <c r="G33" s="53" t="s">
        <v>7</v>
      </c>
      <c r="H33" s="54"/>
      <c r="I33" s="55"/>
      <c r="J33" s="61"/>
      <c r="K33" s="62"/>
      <c r="L33" s="62"/>
      <c r="M33" s="63"/>
      <c r="N33" s="64"/>
      <c r="O33" s="65"/>
      <c r="P33" s="65"/>
      <c r="Q33" s="66"/>
      <c r="R33" s="67"/>
      <c r="S33" s="68"/>
      <c r="T33" s="68"/>
      <c r="U33" s="69"/>
      <c r="V33" s="109"/>
      <c r="W33" s="110"/>
      <c r="X33" s="110"/>
      <c r="Y33" s="111"/>
      <c r="Z33" s="70"/>
      <c r="AA33" s="71"/>
      <c r="AB33" s="71"/>
      <c r="AC33" s="72"/>
      <c r="AD33" s="73"/>
      <c r="AE33" s="74"/>
      <c r="AF33" s="74"/>
      <c r="AG33" s="75"/>
      <c r="AH33" s="76"/>
      <c r="AI33" s="77"/>
      <c r="AJ33" s="77"/>
      <c r="AK33" s="78"/>
      <c r="AL33" s="79"/>
      <c r="AM33" s="80"/>
      <c r="AN33" s="80"/>
      <c r="AO33" s="81"/>
      <c r="AP33" s="41"/>
      <c r="AQ33" s="42"/>
      <c r="AR33" s="42"/>
      <c r="AS33" s="43"/>
      <c r="AT33" s="82"/>
      <c r="AU33" s="83"/>
      <c r="AV33" s="83"/>
      <c r="AW33" s="84"/>
      <c r="AX33" s="85"/>
      <c r="AY33" s="86"/>
      <c r="AZ33" s="86"/>
      <c r="BA33" s="87"/>
      <c r="BB33" s="88"/>
      <c r="BC33" s="89"/>
      <c r="BD33" s="89"/>
      <c r="BE33" s="90"/>
      <c r="BF33" s="91"/>
      <c r="BG33" s="92"/>
      <c r="BH33" s="92"/>
      <c r="BI33" s="93"/>
      <c r="BJ33" s="94"/>
      <c r="BK33" s="95"/>
      <c r="BL33" s="95"/>
      <c r="BM33" s="96"/>
      <c r="BN33" s="34"/>
      <c r="BO33" s="36"/>
      <c r="BP33" s="36"/>
      <c r="BQ33" s="35"/>
      <c r="BR33" s="79"/>
      <c r="BS33" s="80"/>
      <c r="BT33" s="80"/>
      <c r="BU33" s="81"/>
      <c r="BV33" s="97"/>
      <c r="BW33" s="98"/>
      <c r="BX33" s="98"/>
      <c r="BY33" s="99"/>
      <c r="BZ33" s="41"/>
      <c r="CA33" s="42"/>
      <c r="CB33" s="42"/>
      <c r="CC33" s="43"/>
      <c r="CD33" s="100"/>
      <c r="CE33" s="101"/>
      <c r="CF33" s="101"/>
      <c r="CG33" s="102"/>
      <c r="CH33" s="103"/>
      <c r="CI33" s="104"/>
      <c r="CJ33" s="104"/>
      <c r="CK33" s="105"/>
      <c r="CL33" s="109"/>
      <c r="CM33" s="110"/>
      <c r="CN33" s="110"/>
      <c r="CO33" s="111"/>
      <c r="CP33" s="140"/>
      <c r="CQ33" s="141"/>
      <c r="CR33" s="141"/>
      <c r="CS33" s="142"/>
      <c r="CT33" s="85"/>
      <c r="CU33" s="86"/>
      <c r="CV33" s="86"/>
      <c r="CW33" s="87"/>
      <c r="CX33" s="133"/>
      <c r="CY33" s="134"/>
      <c r="CZ33" s="134"/>
      <c r="DA33" s="135"/>
      <c r="DB33" s="144"/>
      <c r="DC33" s="145"/>
      <c r="DD33" s="145"/>
      <c r="DE33" s="146"/>
      <c r="DF33" s="153"/>
      <c r="DG33" s="151"/>
      <c r="DH33" s="151"/>
      <c r="DI33" s="152"/>
    </row>
    <row r="34" spans="2:113" x14ac:dyDescent="0.3">
      <c r="B34" s="25">
        <v>46217</v>
      </c>
      <c r="C34" s="32">
        <v>0.875</v>
      </c>
      <c r="D34" s="27"/>
      <c r="E34" s="28" t="s">
        <v>1</v>
      </c>
      <c r="F34" s="29"/>
      <c r="G34" s="27"/>
      <c r="H34" s="28" t="s">
        <v>1</v>
      </c>
      <c r="I34" s="29"/>
      <c r="J34" s="27"/>
      <c r="K34" s="28" t="s">
        <v>1</v>
      </c>
      <c r="L34" s="29"/>
      <c r="M34" s="11" t="str">
        <f>IF(ISBLANK($I34)=TRUE,"",IF(SIGN(J34-L34)=SIGN($G34-$I34),1,0)+IF(J34=$G34,IF(L34=$I34,2,0),0))</f>
        <v/>
      </c>
      <c r="N34" s="27"/>
      <c r="O34" s="28" t="s">
        <v>1</v>
      </c>
      <c r="P34" s="29"/>
      <c r="Q34" s="11" t="str">
        <f>IF(ISBLANK($I34)=TRUE,"",IF(SIGN(N34-P34)=SIGN($G34-$I34),1,0)+IF(N34=$G34,IF(P34=$I34,2,0),0))</f>
        <v/>
      </c>
      <c r="R34" s="27"/>
      <c r="S34" s="28" t="s">
        <v>1</v>
      </c>
      <c r="T34" s="29"/>
      <c r="U34" s="11" t="str">
        <f>IF(ISBLANK($I34)=TRUE,"",IF(SIGN(R34-T34)=SIGN($G34-$I34),1,0)+IF(R34=$G34,IF(T34=$I34,2,0),0))</f>
        <v/>
      </c>
      <c r="V34" s="27"/>
      <c r="W34" s="28" t="s">
        <v>1</v>
      </c>
      <c r="X34" s="29"/>
      <c r="Y34" s="11" t="str">
        <f>IF(ISBLANK($I34)=TRUE,"",IF(SIGN(V34-X34)=SIGN($G34-$I34),1,0)+IF(V34=$G34,IF(X34=$I34,2,0),0))</f>
        <v/>
      </c>
      <c r="Z34" s="27"/>
      <c r="AA34" s="28" t="s">
        <v>1</v>
      </c>
      <c r="AB34" s="29"/>
      <c r="AC34" s="11" t="str">
        <f>IF(ISBLANK($I34)=TRUE,"",IF(SIGN(Z34-AB34)=SIGN($G34-$I34),1,0)+IF(Z34=$G34,IF(AB34=$I34,2,0),0))</f>
        <v/>
      </c>
      <c r="AD34" s="27"/>
      <c r="AE34" s="28" t="s">
        <v>1</v>
      </c>
      <c r="AF34" s="29"/>
      <c r="AG34" s="11" t="str">
        <f>IF(ISBLANK($I34)=TRUE,"",IF(SIGN(AD34-AF34)=SIGN($G34-$I34),1,0)+IF(AD34=$G34,IF(AF34=$I34,2,0),0))</f>
        <v/>
      </c>
      <c r="AH34" s="27"/>
      <c r="AI34" s="28" t="s">
        <v>1</v>
      </c>
      <c r="AJ34" s="29"/>
      <c r="AK34" s="11" t="str">
        <f>IF(ISBLANK($I34)=TRUE,"",IF(SIGN(AH34-AJ34)=SIGN($G34-$I34),1,0)+IF(AH34=$G34,IF(AJ34=$I34,2,0),0))</f>
        <v/>
      </c>
      <c r="AL34" s="27"/>
      <c r="AM34" s="28" t="s">
        <v>1</v>
      </c>
      <c r="AN34" s="29"/>
      <c r="AO34" s="11" t="str">
        <f>IF(ISBLANK($I34)=TRUE,"",IF(SIGN(AL34-AN34)=SIGN($G34-$I34),1,0)+IF(AL34=$G34,IF(AN34=$I34,2,0),0))</f>
        <v/>
      </c>
      <c r="AP34" s="27"/>
      <c r="AQ34" s="28" t="s">
        <v>1</v>
      </c>
      <c r="AR34" s="29"/>
      <c r="AS34" s="11" t="str">
        <f>IF(ISBLANK($I34)=TRUE,"",IF(SIGN(AP34-AR34)=SIGN($G34-$I34),1,0)+IF(AP34=$G34,IF(AR34=$I34,2,0),0))</f>
        <v/>
      </c>
      <c r="AT34" s="27"/>
      <c r="AU34" s="28" t="s">
        <v>1</v>
      </c>
      <c r="AV34" s="29"/>
      <c r="AW34" s="11" t="str">
        <f>IF(ISBLANK($I34)=TRUE,"",IF(SIGN(AT34-AV34)=SIGN($G34-$I34),1,0)+IF(AT34=$G34,IF(AV34=$I34,2,0),0))</f>
        <v/>
      </c>
      <c r="AX34" s="27"/>
      <c r="AY34" s="28" t="s">
        <v>1</v>
      </c>
      <c r="AZ34" s="29"/>
      <c r="BA34" s="11" t="str">
        <f>IF(ISBLANK($I34)=TRUE,"",IF(SIGN(AX34-AZ34)=SIGN($G34-$I34),1,0)+IF(AX34=$G34,IF(AZ34=$I34,2,0),0))</f>
        <v/>
      </c>
      <c r="BB34" s="27"/>
      <c r="BC34" s="28" t="s">
        <v>1</v>
      </c>
      <c r="BD34" s="29"/>
      <c r="BE34" s="11" t="str">
        <f>IF(ISBLANK($I34)=TRUE,"",IF(SIGN(BB34-BD34)=SIGN($G34-$I34),1,0)+IF(BB34=$G34,IF(BD34=$I34,2,0),0))</f>
        <v/>
      </c>
      <c r="BF34" s="27"/>
      <c r="BG34" s="28" t="s">
        <v>1</v>
      </c>
      <c r="BH34" s="29"/>
      <c r="BI34" s="11" t="str">
        <f>IF(ISBLANK($I34)=TRUE,"",IF(SIGN(BF34-BH34)=SIGN($G34-$I34),1,0)+IF(BF34=$G34,IF(BH34=$I34,2,0),0))</f>
        <v/>
      </c>
      <c r="BJ34" s="27"/>
      <c r="BK34" s="28" t="s">
        <v>1</v>
      </c>
      <c r="BL34" s="29"/>
      <c r="BM34" s="11" t="str">
        <f>IF(ISBLANK($I34)=TRUE,"",IF(SIGN(BJ34-BL34)=SIGN($G34-$I34),1,0)+IF(BJ34=$G34,IF(BL34=$I34,2,0),0))</f>
        <v/>
      </c>
      <c r="BN34" s="27"/>
      <c r="BO34" s="28" t="s">
        <v>1</v>
      </c>
      <c r="BP34" s="29"/>
      <c r="BQ34" s="11" t="str">
        <f>IF(ISBLANK($I34)=TRUE,"",IF(SIGN(BN34-BP34)=SIGN($G34-$I34),1,0)+IF(BN34=$G34,IF(BP34=$I34,2,0),0))</f>
        <v/>
      </c>
      <c r="BR34" s="27"/>
      <c r="BS34" s="28" t="s">
        <v>1</v>
      </c>
      <c r="BT34" s="29"/>
      <c r="BU34" s="11" t="str">
        <f>IF(ISBLANK($I34)=TRUE,"",IF(SIGN(BR34-BT34)=SIGN($G34-$I34),1,0)+IF(BR34=$G34,IF(BT34=$I34,2,0),0))</f>
        <v/>
      </c>
      <c r="BV34" s="27"/>
      <c r="BW34" s="28" t="s">
        <v>1</v>
      </c>
      <c r="BX34" s="29"/>
      <c r="BY34" s="11" t="str">
        <f>IF(ISBLANK($I34)=TRUE,"",IF(SIGN(BV34-BX34)=SIGN($G34-$I34),1,0)+IF(BV34=$G34,IF(BX34=$I34,2,0),0))</f>
        <v/>
      </c>
      <c r="BZ34" s="27"/>
      <c r="CA34" s="28" t="s">
        <v>1</v>
      </c>
      <c r="CB34" s="29"/>
      <c r="CC34" s="11" t="str">
        <f>IF(ISBLANK($I34)=TRUE,"",IF(SIGN(BZ34-CB34)=SIGN($G34-$I34),1,0)+IF(BZ34=$G34,IF(CB34=$I34,2,0),0))</f>
        <v/>
      </c>
      <c r="CD34" s="27"/>
      <c r="CE34" s="28" t="s">
        <v>1</v>
      </c>
      <c r="CF34" s="29"/>
      <c r="CG34" s="11" t="str">
        <f>IF(ISBLANK($I34)=TRUE,"",IF(SIGN(CD34-CF34)=SIGN($G34-$I34),1,0)+IF(CD34=$G34,IF(CF34=$I34,2,0),0))</f>
        <v/>
      </c>
      <c r="CH34" s="27"/>
      <c r="CI34" s="28" t="s">
        <v>1</v>
      </c>
      <c r="CJ34" s="29"/>
      <c r="CK34" s="11" t="str">
        <f>IF(ISBLANK($I34)=TRUE,"",IF(SIGN(CH34-CJ34)=SIGN($G34-$I34),1,0)+IF(CH34=$G34,IF(CJ34=$I34,2,0),0))</f>
        <v/>
      </c>
      <c r="CL34" s="27"/>
      <c r="CM34" s="28" t="s">
        <v>1</v>
      </c>
      <c r="CN34" s="29"/>
      <c r="CO34" s="11" t="str">
        <f>IF(ISBLANK($I34)=TRUE,"",IF(SIGN(CL34-CN34)=SIGN($G34-$I34),1,0)+IF(CL34=$G34,IF(CN34=$I34,2,0),0))</f>
        <v/>
      </c>
      <c r="CP34" s="27"/>
      <c r="CQ34" s="28" t="s">
        <v>1</v>
      </c>
      <c r="CR34" s="29"/>
      <c r="CS34" s="11" t="str">
        <f>IF(ISBLANK($I34)=TRUE,"",IF(SIGN(CP34-CR34)=SIGN($G34-$I34),1,0)+IF(CP34=$G34,IF(CR34=$I34,2,0),0))</f>
        <v/>
      </c>
      <c r="CT34" s="27"/>
      <c r="CU34" s="28" t="s">
        <v>1</v>
      </c>
      <c r="CV34" s="29"/>
      <c r="CW34" s="11" t="str">
        <f>IF(ISBLANK($I34)=TRUE,"",IF(SIGN(CT34-CV34)=SIGN($G34-$I34),1,0)+IF(CT34=$G34,IF(CV34=$I34,2,0),0))</f>
        <v/>
      </c>
      <c r="CX34" s="27"/>
      <c r="CY34" s="28" t="s">
        <v>1</v>
      </c>
      <c r="CZ34" s="29"/>
      <c r="DA34" s="11" t="str">
        <f>IF(ISBLANK($I34)=TRUE,"",IF(SIGN(CX34-CZ34)=SIGN($G34-$I34),1,0)+IF(CX34=$G34,IF(CZ34=$I34,2,0),0))</f>
        <v/>
      </c>
      <c r="DB34" s="27"/>
      <c r="DC34" s="28" t="s">
        <v>1</v>
      </c>
      <c r="DD34" s="29"/>
      <c r="DE34" s="11" t="str">
        <f>IF(ISBLANK($I34)=TRUE,"",IF(SIGN(DB34-DD34)=SIGN($G34-$I34),1,0)+IF(DB34=$G34,IF(DD34=$I34,2,0),0))</f>
        <v/>
      </c>
      <c r="DF34" s="27"/>
      <c r="DG34" s="28" t="s">
        <v>1</v>
      </c>
      <c r="DH34" s="29"/>
      <c r="DI34" s="11" t="str">
        <f>IF(ISBLANK($I34)=TRUE,"",IF(SIGN(DF34-DH34)=SIGN($G34-$I34),1,0)+IF(DF34=$G34,IF(DH34=$I34,2,0),0))</f>
        <v/>
      </c>
    </row>
    <row r="35" spans="2:113" ht="15" thickBot="1" x14ac:dyDescent="0.35">
      <c r="B35" s="12">
        <v>46218</v>
      </c>
      <c r="C35" s="33">
        <v>0.875</v>
      </c>
      <c r="D35" s="3"/>
      <c r="E35" s="1" t="s">
        <v>1</v>
      </c>
      <c r="F35" s="5"/>
      <c r="G35" s="3"/>
      <c r="H35" s="1" t="s">
        <v>1</v>
      </c>
      <c r="I35" s="5"/>
      <c r="J35" s="3"/>
      <c r="K35" s="1" t="s">
        <v>1</v>
      </c>
      <c r="L35" s="5"/>
      <c r="M35" s="9" t="str">
        <f t="shared" ref="M35" si="126">IF(ISBLANK($G35)=TRUE,"",IF(SIGN(J35-L35)=SIGN($G35-$I35),1,0)+IF(J35=$G35,IF(L35=$I35,2,0),0))</f>
        <v/>
      </c>
      <c r="N35" s="3"/>
      <c r="O35" s="1" t="s">
        <v>1</v>
      </c>
      <c r="P35" s="5"/>
      <c r="Q35" s="9" t="str">
        <f t="shared" ref="Q35" si="127">IF(ISBLANK($G35)=TRUE,"",IF(SIGN(N35-P35)=SIGN($G35-$I35),1,0)+IF(N35=$G35,IF(P35=$I35,2,0),0))</f>
        <v/>
      </c>
      <c r="R35" s="3"/>
      <c r="S35" s="1" t="s">
        <v>1</v>
      </c>
      <c r="T35" s="5"/>
      <c r="U35" s="9" t="str">
        <f t="shared" ref="U35" si="128">IF(ISBLANK($G35)=TRUE,"",IF(SIGN(R35-T35)=SIGN($G35-$I35),1,0)+IF(R35=$G35,IF(T35=$I35,2,0),0))</f>
        <v/>
      </c>
      <c r="V35" s="3"/>
      <c r="W35" s="1" t="s">
        <v>1</v>
      </c>
      <c r="X35" s="5"/>
      <c r="Y35" s="9" t="str">
        <f t="shared" ref="Y35" si="129">IF(ISBLANK($G35)=TRUE,"",IF(SIGN(V35-X35)=SIGN($G35-$I35),1,0)+IF(V35=$G35,IF(X35=$I35,2,0),0))</f>
        <v/>
      </c>
      <c r="Z35" s="3"/>
      <c r="AA35" s="1" t="s">
        <v>1</v>
      </c>
      <c r="AB35" s="5"/>
      <c r="AC35" s="9" t="str">
        <f t="shared" ref="AC35" si="130">IF(ISBLANK($G35)=TRUE,"",IF(SIGN(Z35-AB35)=SIGN($G35-$I35),1,0)+IF(Z35=$G35,IF(AB35=$I35,2,0),0))</f>
        <v/>
      </c>
      <c r="AD35" s="3"/>
      <c r="AE35" s="1" t="s">
        <v>1</v>
      </c>
      <c r="AF35" s="5"/>
      <c r="AG35" s="9" t="str">
        <f t="shared" ref="AG35" si="131">IF(ISBLANK($G35)=TRUE,"",IF(SIGN(AD35-AF35)=SIGN($G35-$I35),1,0)+IF(AD35=$G35,IF(AF35=$I35,2,0),0))</f>
        <v/>
      </c>
      <c r="AH35" s="3"/>
      <c r="AI35" s="1" t="s">
        <v>1</v>
      </c>
      <c r="AJ35" s="5"/>
      <c r="AK35" s="9" t="str">
        <f t="shared" ref="AK35" si="132">IF(ISBLANK($G35)=TRUE,"",IF(SIGN(AH35-AJ35)=SIGN($G35-$I35),1,0)+IF(AH35=$G35,IF(AJ35=$I35,2,0),0))</f>
        <v/>
      </c>
      <c r="AL35" s="3"/>
      <c r="AM35" s="1" t="s">
        <v>1</v>
      </c>
      <c r="AN35" s="5"/>
      <c r="AO35" s="9" t="str">
        <f t="shared" ref="AO35" si="133">IF(ISBLANK($G35)=TRUE,"",IF(SIGN(AL35-AN35)=SIGN($G35-$I35),1,0)+IF(AL35=$G35,IF(AN35=$I35,2,0),0))</f>
        <v/>
      </c>
      <c r="AP35" s="3"/>
      <c r="AQ35" s="1" t="s">
        <v>1</v>
      </c>
      <c r="AR35" s="5"/>
      <c r="AS35" s="9" t="str">
        <f t="shared" ref="AS35" si="134">IF(ISBLANK($G35)=TRUE,"",IF(SIGN(AP35-AR35)=SIGN($G35-$I35),1,0)+IF(AP35=$G35,IF(AR35=$I35,2,0),0))</f>
        <v/>
      </c>
      <c r="AT35" s="3"/>
      <c r="AU35" s="1" t="s">
        <v>1</v>
      </c>
      <c r="AV35" s="5"/>
      <c r="AW35" s="9" t="str">
        <f t="shared" ref="AW35" si="135">IF(ISBLANK($G35)=TRUE,"",IF(SIGN(AT35-AV35)=SIGN($G35-$I35),1,0)+IF(AT35=$G35,IF(AV35=$I35,2,0),0))</f>
        <v/>
      </c>
      <c r="AX35" s="3"/>
      <c r="AY35" s="1" t="s">
        <v>1</v>
      </c>
      <c r="AZ35" s="5"/>
      <c r="BA35" s="9" t="str">
        <f t="shared" ref="BA35" si="136">IF(ISBLANK($G35)=TRUE,"",IF(SIGN(AX35-AZ35)=SIGN($G35-$I35),1,0)+IF(AX35=$G35,IF(AZ35=$I35,2,0),0))</f>
        <v/>
      </c>
      <c r="BB35" s="3"/>
      <c r="BC35" s="1" t="s">
        <v>1</v>
      </c>
      <c r="BD35" s="5"/>
      <c r="BE35" s="9" t="str">
        <f t="shared" ref="BE35" si="137">IF(ISBLANK($G35)=TRUE,"",IF(SIGN(BB35-BD35)=SIGN($G35-$I35),1,0)+IF(BB35=$G35,IF(BD35=$I35,2,0),0))</f>
        <v/>
      </c>
      <c r="BF35" s="3"/>
      <c r="BG35" s="1" t="s">
        <v>1</v>
      </c>
      <c r="BH35" s="5"/>
      <c r="BI35" s="9" t="str">
        <f t="shared" ref="BI35" si="138">IF(ISBLANK($G35)=TRUE,"",IF(SIGN(BF35-BH35)=SIGN($G35-$I35),1,0)+IF(BF35=$G35,IF(BH35=$I35,2,0),0))</f>
        <v/>
      </c>
      <c r="BJ35" s="3"/>
      <c r="BK35" s="1" t="s">
        <v>1</v>
      </c>
      <c r="BL35" s="5"/>
      <c r="BM35" s="9" t="str">
        <f t="shared" ref="BM35" si="139">IF(ISBLANK($G35)=TRUE,"",IF(SIGN(BJ35-BL35)=SIGN($G35-$I35),1,0)+IF(BJ35=$G35,IF(BL35=$I35,2,0),0))</f>
        <v/>
      </c>
      <c r="BN35" s="3"/>
      <c r="BO35" s="1" t="s">
        <v>1</v>
      </c>
      <c r="BP35" s="5"/>
      <c r="BQ35" s="9" t="str">
        <f t="shared" ref="BQ35" si="140">IF(ISBLANK($G35)=TRUE,"",IF(SIGN(BN35-BP35)=SIGN($G35-$I35),1,0)+IF(BN35=$G35,IF(BP35=$I35,2,0),0))</f>
        <v/>
      </c>
      <c r="BR35" s="3"/>
      <c r="BS35" s="1" t="s">
        <v>1</v>
      </c>
      <c r="BT35" s="5"/>
      <c r="BU35" s="9" t="str">
        <f t="shared" ref="BU35" si="141">IF(ISBLANK($G35)=TRUE,"",IF(SIGN(BR35-BT35)=SIGN($G35-$I35),1,0)+IF(BR35=$G35,IF(BT35=$I35,2,0),0))</f>
        <v/>
      </c>
      <c r="BV35" s="3"/>
      <c r="BW35" s="1" t="s">
        <v>1</v>
      </c>
      <c r="BX35" s="5"/>
      <c r="BY35" s="9" t="str">
        <f t="shared" ref="BY35" si="142">IF(ISBLANK($G35)=TRUE,"",IF(SIGN(BV35-BX35)=SIGN($G35-$I35),1,0)+IF(BV35=$G35,IF(BX35=$I35,2,0),0))</f>
        <v/>
      </c>
      <c r="BZ35" s="3"/>
      <c r="CA35" s="1" t="s">
        <v>1</v>
      </c>
      <c r="CB35" s="5"/>
      <c r="CC35" s="9" t="str">
        <f t="shared" ref="CC35" si="143">IF(ISBLANK($G35)=TRUE,"",IF(SIGN(BZ35-CB35)=SIGN($G35-$I35),1,0)+IF(BZ35=$G35,IF(CB35=$I35,2,0),0))</f>
        <v/>
      </c>
      <c r="CD35" s="3"/>
      <c r="CE35" s="1" t="s">
        <v>1</v>
      </c>
      <c r="CF35" s="5"/>
      <c r="CG35" s="9" t="str">
        <f t="shared" ref="CG35" si="144">IF(ISBLANK($G35)=TRUE,"",IF(SIGN(CD35-CF35)=SIGN($G35-$I35),1,0)+IF(CD35=$G35,IF(CF35=$I35,2,0),0))</f>
        <v/>
      </c>
      <c r="CH35" s="3"/>
      <c r="CI35" s="1" t="s">
        <v>1</v>
      </c>
      <c r="CJ35" s="5"/>
      <c r="CK35" s="9" t="str">
        <f t="shared" ref="CK35" si="145">IF(ISBLANK($G35)=TRUE,"",IF(SIGN(CH35-CJ35)=SIGN($G35-$I35),1,0)+IF(CH35=$G35,IF(CJ35=$I35,2,0),0))</f>
        <v/>
      </c>
      <c r="CL35" s="3"/>
      <c r="CM35" s="1" t="s">
        <v>1</v>
      </c>
      <c r="CN35" s="5"/>
      <c r="CO35" s="9" t="str">
        <f t="shared" ref="CO35" si="146">IF(ISBLANK($G35)=TRUE,"",IF(SIGN(CL35-CN35)=SIGN($G35-$I35),1,0)+IF(CL35=$G35,IF(CN35=$I35,2,0),0))</f>
        <v/>
      </c>
      <c r="CP35" s="3"/>
      <c r="CQ35" s="1" t="s">
        <v>1</v>
      </c>
      <c r="CR35" s="5"/>
      <c r="CS35" s="9" t="str">
        <f t="shared" ref="CS35" si="147">IF(ISBLANK($G35)=TRUE,"",IF(SIGN(CP35-CR35)=SIGN($G35-$I35),1,0)+IF(CP35=$G35,IF(CR35=$I35,2,0),0))</f>
        <v/>
      </c>
      <c r="CT35" s="3"/>
      <c r="CU35" s="1" t="s">
        <v>1</v>
      </c>
      <c r="CV35" s="5"/>
      <c r="CW35" s="9" t="str">
        <f t="shared" ref="CW35" si="148">IF(ISBLANK($G35)=TRUE,"",IF(SIGN(CT35-CV35)=SIGN($G35-$I35),1,0)+IF(CT35=$G35,IF(CV35=$I35,2,0),0))</f>
        <v/>
      </c>
      <c r="CX35" s="3"/>
      <c r="CY35" s="1" t="s">
        <v>1</v>
      </c>
      <c r="CZ35" s="5"/>
      <c r="DA35" s="9" t="str">
        <f t="shared" ref="DA35" si="149">IF(ISBLANK($G35)=TRUE,"",IF(SIGN(CX35-CZ35)=SIGN($G35-$I35),1,0)+IF(CX35=$G35,IF(CZ35=$I35,2,0),0))</f>
        <v/>
      </c>
      <c r="DB35" s="3"/>
      <c r="DC35" s="1" t="s">
        <v>1</v>
      </c>
      <c r="DD35" s="5"/>
      <c r="DE35" s="9" t="str">
        <f t="shared" ref="DE35" si="150">IF(ISBLANK($G35)=TRUE,"",IF(SIGN(DB35-DD35)=SIGN($G35-$I35),1,0)+IF(DB35=$G35,IF(DD35=$I35,2,0),0))</f>
        <v/>
      </c>
      <c r="DF35" s="3"/>
      <c r="DG35" s="1" t="s">
        <v>1</v>
      </c>
      <c r="DH35" s="5"/>
      <c r="DI35" s="9" t="str">
        <f t="shared" ref="DI35" si="151">IF(ISBLANK($G35)=TRUE,"",IF(SIGN(DF35-DH35)=SIGN($G35-$I35),1,0)+IF(DF35=$G35,IF(DH35=$I35,2,0),0))</f>
        <v/>
      </c>
    </row>
    <row r="36" spans="2:113" ht="15" thickBot="1" x14ac:dyDescent="0.35">
      <c r="B36" s="56" t="s">
        <v>77</v>
      </c>
      <c r="C36" s="57" t="s">
        <v>78</v>
      </c>
      <c r="D36" s="232" t="s">
        <v>121</v>
      </c>
      <c r="E36" s="233"/>
      <c r="F36" s="234"/>
      <c r="G36" s="53" t="s">
        <v>7</v>
      </c>
      <c r="H36" s="54"/>
      <c r="I36" s="55"/>
      <c r="J36" s="61"/>
      <c r="K36" s="62"/>
      <c r="L36" s="62"/>
      <c r="M36" s="63"/>
      <c r="N36" s="64"/>
      <c r="O36" s="65"/>
      <c r="P36" s="65"/>
      <c r="Q36" s="66"/>
      <c r="R36" s="67"/>
      <c r="S36" s="68"/>
      <c r="T36" s="68"/>
      <c r="U36" s="69"/>
      <c r="V36" s="109"/>
      <c r="W36" s="110"/>
      <c r="X36" s="110"/>
      <c r="Y36" s="111"/>
      <c r="Z36" s="70"/>
      <c r="AA36" s="71"/>
      <c r="AB36" s="71"/>
      <c r="AC36" s="72"/>
      <c r="AD36" s="73"/>
      <c r="AE36" s="74"/>
      <c r="AF36" s="74"/>
      <c r="AG36" s="75"/>
      <c r="AH36" s="76"/>
      <c r="AI36" s="77"/>
      <c r="AJ36" s="77"/>
      <c r="AK36" s="78"/>
      <c r="AL36" s="79"/>
      <c r="AM36" s="80"/>
      <c r="AN36" s="80"/>
      <c r="AO36" s="81"/>
      <c r="AP36" s="41"/>
      <c r="AQ36" s="42"/>
      <c r="AR36" s="42"/>
      <c r="AS36" s="43"/>
      <c r="AT36" s="82"/>
      <c r="AU36" s="83"/>
      <c r="AV36" s="83"/>
      <c r="AW36" s="84"/>
      <c r="AX36" s="85"/>
      <c r="AY36" s="86"/>
      <c r="AZ36" s="86"/>
      <c r="BA36" s="87"/>
      <c r="BB36" s="88"/>
      <c r="BC36" s="89"/>
      <c r="BD36" s="89"/>
      <c r="BE36" s="90"/>
      <c r="BF36" s="91"/>
      <c r="BG36" s="92"/>
      <c r="BH36" s="92"/>
      <c r="BI36" s="93"/>
      <c r="BJ36" s="94"/>
      <c r="BK36" s="95"/>
      <c r="BL36" s="95"/>
      <c r="BM36" s="96"/>
      <c r="BN36" s="34"/>
      <c r="BO36" s="36"/>
      <c r="BP36" s="36"/>
      <c r="BQ36" s="35"/>
      <c r="BR36" s="79"/>
      <c r="BS36" s="80"/>
      <c r="BT36" s="80"/>
      <c r="BU36" s="81"/>
      <c r="BV36" s="97"/>
      <c r="BW36" s="98"/>
      <c r="BX36" s="98"/>
      <c r="BY36" s="99"/>
      <c r="BZ36" s="41"/>
      <c r="CA36" s="42"/>
      <c r="CB36" s="42"/>
      <c r="CC36" s="43"/>
      <c r="CD36" s="100"/>
      <c r="CE36" s="101"/>
      <c r="CF36" s="101"/>
      <c r="CG36" s="102"/>
      <c r="CH36" s="103"/>
      <c r="CI36" s="104"/>
      <c r="CJ36" s="104"/>
      <c r="CK36" s="105"/>
      <c r="CL36" s="109"/>
      <c r="CM36" s="110"/>
      <c r="CN36" s="110"/>
      <c r="CO36" s="111"/>
      <c r="CP36" s="140"/>
      <c r="CQ36" s="141"/>
      <c r="CR36" s="141"/>
      <c r="CS36" s="142"/>
      <c r="CT36" s="85"/>
      <c r="CU36" s="86"/>
      <c r="CV36" s="86"/>
      <c r="CW36" s="87"/>
      <c r="CX36" s="133"/>
      <c r="CY36" s="134"/>
      <c r="CZ36" s="134"/>
      <c r="DA36" s="135"/>
      <c r="DB36" s="144"/>
      <c r="DC36" s="145"/>
      <c r="DD36" s="145"/>
      <c r="DE36" s="146"/>
      <c r="DF36" s="153"/>
      <c r="DG36" s="151"/>
      <c r="DH36" s="151"/>
      <c r="DI36" s="152"/>
    </row>
    <row r="37" spans="2:113" ht="15" thickBot="1" x14ac:dyDescent="0.35">
      <c r="B37" s="25">
        <v>46221</v>
      </c>
      <c r="C37" s="32">
        <v>0.95833333333333337</v>
      </c>
      <c r="D37" s="27"/>
      <c r="E37" s="28" t="s">
        <v>1</v>
      </c>
      <c r="F37" s="29"/>
      <c r="G37" s="27"/>
      <c r="H37" s="28" t="s">
        <v>1</v>
      </c>
      <c r="I37" s="29"/>
      <c r="J37" s="27"/>
      <c r="K37" s="28" t="s">
        <v>1</v>
      </c>
      <c r="L37" s="29"/>
      <c r="M37" s="11" t="str">
        <f>IF(ISBLANK($I37)=TRUE,"",IF(SIGN(J37-L37)=SIGN($G37-$I37),1,0)+IF(J37=$G37,IF(L37=$I37,2,0),0))</f>
        <v/>
      </c>
      <c r="N37" s="27"/>
      <c r="O37" s="28" t="s">
        <v>1</v>
      </c>
      <c r="P37" s="29"/>
      <c r="Q37" s="11" t="str">
        <f>IF(ISBLANK($I37)=TRUE,"",IF(SIGN(N37-P37)=SIGN($G37-$I37),1,0)+IF(N37=$G37,IF(P37=$I37,2,0),0))</f>
        <v/>
      </c>
      <c r="R37" s="27"/>
      <c r="S37" s="28" t="s">
        <v>1</v>
      </c>
      <c r="T37" s="29"/>
      <c r="U37" s="11" t="str">
        <f>IF(ISBLANK($I37)=TRUE,"",IF(SIGN(R37-T37)=SIGN($G37-$I37),1,0)+IF(R37=$G37,IF(T37=$I37,2,0),0))</f>
        <v/>
      </c>
      <c r="V37" s="27"/>
      <c r="W37" s="28" t="s">
        <v>1</v>
      </c>
      <c r="X37" s="29"/>
      <c r="Y37" s="11" t="str">
        <f>IF(ISBLANK($I37)=TRUE,"",IF(SIGN(V37-X37)=SIGN($G37-$I37),1,0)+IF(V37=$G37,IF(X37=$I37,2,0),0))</f>
        <v/>
      </c>
      <c r="Z37" s="27"/>
      <c r="AA37" s="28" t="s">
        <v>1</v>
      </c>
      <c r="AB37" s="29"/>
      <c r="AC37" s="11" t="str">
        <f>IF(ISBLANK($I37)=TRUE,"",IF(SIGN(Z37-AB37)=SIGN($G37-$I37),1,0)+IF(Z37=$G37,IF(AB37=$I37,2,0),0))</f>
        <v/>
      </c>
      <c r="AD37" s="27"/>
      <c r="AE37" s="28" t="s">
        <v>1</v>
      </c>
      <c r="AF37" s="29"/>
      <c r="AG37" s="11" t="str">
        <f>IF(ISBLANK($I37)=TRUE,"",IF(SIGN(AD37-AF37)=SIGN($G37-$I37),1,0)+IF(AD37=$G37,IF(AF37=$I37,2,0),0))</f>
        <v/>
      </c>
      <c r="AH37" s="27"/>
      <c r="AI37" s="28" t="s">
        <v>1</v>
      </c>
      <c r="AJ37" s="29"/>
      <c r="AK37" s="11" t="str">
        <f>IF(ISBLANK($I37)=TRUE,"",IF(SIGN(AH37-AJ37)=SIGN($G37-$I37),1,0)+IF(AH37=$G37,IF(AJ37=$I37,2,0),0))</f>
        <v/>
      </c>
      <c r="AL37" s="27"/>
      <c r="AM37" s="28" t="s">
        <v>1</v>
      </c>
      <c r="AN37" s="29"/>
      <c r="AO37" s="11" t="str">
        <f>IF(ISBLANK($I37)=TRUE,"",IF(SIGN(AL37-AN37)=SIGN($G37-$I37),1,0)+IF(AL37=$G37,IF(AN37=$I37,2,0),0))</f>
        <v/>
      </c>
      <c r="AP37" s="27"/>
      <c r="AQ37" s="28" t="s">
        <v>1</v>
      </c>
      <c r="AR37" s="29"/>
      <c r="AS37" s="11" t="str">
        <f>IF(ISBLANK($I37)=TRUE,"",IF(SIGN(AP37-AR37)=SIGN($G37-$I37),1,0)+IF(AP37=$G37,IF(AR37=$I37,2,0),0))</f>
        <v/>
      </c>
      <c r="AT37" s="27"/>
      <c r="AU37" s="28" t="s">
        <v>1</v>
      </c>
      <c r="AV37" s="29"/>
      <c r="AW37" s="11" t="str">
        <f>IF(ISBLANK($I37)=TRUE,"",IF(SIGN(AT37-AV37)=SIGN($G37-$I37),1,0)+IF(AT37=$G37,IF(AV37=$I37,2,0),0))</f>
        <v/>
      </c>
      <c r="AX37" s="27"/>
      <c r="AY37" s="28" t="s">
        <v>1</v>
      </c>
      <c r="AZ37" s="29"/>
      <c r="BA37" s="11" t="str">
        <f>IF(ISBLANK($I37)=TRUE,"",IF(SIGN(AX37-AZ37)=SIGN($G37-$I37),1,0)+IF(AX37=$G37,IF(AZ37=$I37,2,0),0))</f>
        <v/>
      </c>
      <c r="BB37" s="27"/>
      <c r="BC37" s="28" t="s">
        <v>1</v>
      </c>
      <c r="BD37" s="29"/>
      <c r="BE37" s="11" t="str">
        <f>IF(ISBLANK($I37)=TRUE,"",IF(SIGN(BB37-BD37)=SIGN($G37-$I37),1,0)+IF(BB37=$G37,IF(BD37=$I37,2,0),0))</f>
        <v/>
      </c>
      <c r="BF37" s="27"/>
      <c r="BG37" s="28" t="s">
        <v>1</v>
      </c>
      <c r="BH37" s="29"/>
      <c r="BI37" s="11" t="str">
        <f>IF(ISBLANK($I37)=TRUE,"",IF(SIGN(BF37-BH37)=SIGN($G37-$I37),1,0)+IF(BF37=$G37,IF(BH37=$I37,2,0),0))</f>
        <v/>
      </c>
      <c r="BJ37" s="27"/>
      <c r="BK37" s="28" t="s">
        <v>1</v>
      </c>
      <c r="BL37" s="29"/>
      <c r="BM37" s="11" t="str">
        <f>IF(ISBLANK($I37)=TRUE,"",IF(SIGN(BJ37-BL37)=SIGN($G37-$I37),1,0)+IF(BJ37=$G37,IF(BL37=$I37,2,0),0))</f>
        <v/>
      </c>
      <c r="BN37" s="27"/>
      <c r="BO37" s="28" t="s">
        <v>1</v>
      </c>
      <c r="BP37" s="29"/>
      <c r="BQ37" s="11" t="str">
        <f>IF(ISBLANK($I37)=TRUE,"",IF(SIGN(BN37-BP37)=SIGN($G37-$I37),1,0)+IF(BN37=$G37,IF(BP37=$I37,2,0),0))</f>
        <v/>
      </c>
      <c r="BR37" s="27"/>
      <c r="BS37" s="28" t="s">
        <v>1</v>
      </c>
      <c r="BT37" s="29"/>
      <c r="BU37" s="11" t="str">
        <f>IF(ISBLANK($I37)=TRUE,"",IF(SIGN(BR37-BT37)=SIGN($G37-$I37),1,0)+IF(BR37=$G37,IF(BT37=$I37,2,0),0))</f>
        <v/>
      </c>
      <c r="BV37" s="27"/>
      <c r="BW37" s="28" t="s">
        <v>1</v>
      </c>
      <c r="BX37" s="29"/>
      <c r="BY37" s="11" t="str">
        <f>IF(ISBLANK($I37)=TRUE,"",IF(SIGN(BV37-BX37)=SIGN($G37-$I37),1,0)+IF(BV37=$G37,IF(BX37=$I37,2,0),0))</f>
        <v/>
      </c>
      <c r="BZ37" s="27"/>
      <c r="CA37" s="28" t="s">
        <v>1</v>
      </c>
      <c r="CB37" s="29"/>
      <c r="CC37" s="11" t="str">
        <f>IF(ISBLANK($I37)=TRUE,"",IF(SIGN(BZ37-CB37)=SIGN($G37-$I37),1,0)+IF(BZ37=$G37,IF(CB37=$I37,2,0),0))</f>
        <v/>
      </c>
      <c r="CD37" s="27"/>
      <c r="CE37" s="28" t="s">
        <v>1</v>
      </c>
      <c r="CF37" s="29"/>
      <c r="CG37" s="11" t="str">
        <f>IF(ISBLANK($I37)=TRUE,"",IF(SIGN(CD37-CF37)=SIGN($G37-$I37),1,0)+IF(CD37=$G37,IF(CF37=$I37,2,0),0))</f>
        <v/>
      </c>
      <c r="CH37" s="27"/>
      <c r="CI37" s="28" t="s">
        <v>1</v>
      </c>
      <c r="CJ37" s="29"/>
      <c r="CK37" s="11" t="str">
        <f>IF(ISBLANK($I37)=TRUE,"",IF(SIGN(CH37-CJ37)=SIGN($G37-$I37),1,0)+IF(CH37=$G37,IF(CJ37=$I37,2,0),0))</f>
        <v/>
      </c>
      <c r="CL37" s="27"/>
      <c r="CM37" s="28" t="s">
        <v>1</v>
      </c>
      <c r="CN37" s="29"/>
      <c r="CO37" s="11" t="str">
        <f>IF(ISBLANK($I37)=TRUE,"",IF(SIGN(CL37-CN37)=SIGN($G37-$I37),1,0)+IF(CL37=$G37,IF(CN37=$I37,2,0),0))</f>
        <v/>
      </c>
      <c r="CP37" s="27"/>
      <c r="CQ37" s="28" t="s">
        <v>1</v>
      </c>
      <c r="CR37" s="29"/>
      <c r="CS37" s="11" t="str">
        <f>IF(ISBLANK($I37)=TRUE,"",IF(SIGN(CP37-CR37)=SIGN($G37-$I37),1,0)+IF(CP37=$G37,IF(CR37=$I37,2,0),0))</f>
        <v/>
      </c>
      <c r="CT37" s="27"/>
      <c r="CU37" s="28" t="s">
        <v>1</v>
      </c>
      <c r="CV37" s="29"/>
      <c r="CW37" s="11" t="str">
        <f>IF(ISBLANK($I37)=TRUE,"",IF(SIGN(CT37-CV37)=SIGN($G37-$I37),1,0)+IF(CT37=$G37,IF(CV37=$I37,2,0),0))</f>
        <v/>
      </c>
      <c r="CX37" s="27"/>
      <c r="CY37" s="28" t="s">
        <v>1</v>
      </c>
      <c r="CZ37" s="29"/>
      <c r="DA37" s="11" t="str">
        <f>IF(ISBLANK($I37)=TRUE,"",IF(SIGN(CX37-CZ37)=SIGN($G37-$I37),1,0)+IF(CX37=$G37,IF(CZ37=$I37,2,0),0))</f>
        <v/>
      </c>
      <c r="DB37" s="27"/>
      <c r="DC37" s="28" t="s">
        <v>1</v>
      </c>
      <c r="DD37" s="29"/>
      <c r="DE37" s="11" t="str">
        <f>IF(ISBLANK($I37)=TRUE,"",IF(SIGN(DB37-DD37)=SIGN($G37-$I37),1,0)+IF(DB37=$G37,IF(DD37=$I37,2,0),0))</f>
        <v/>
      </c>
      <c r="DF37" s="27"/>
      <c r="DG37" s="28" t="s">
        <v>1</v>
      </c>
      <c r="DH37" s="29"/>
      <c r="DI37" s="11" t="str">
        <f>IF(ISBLANK($I37)=TRUE,"",IF(SIGN(DF37-DH37)=SIGN($G37-$I37),1,0)+IF(DF37=$G37,IF(DH37=$I37,2,0),0))</f>
        <v/>
      </c>
    </row>
    <row r="38" spans="2:113" ht="15" thickBot="1" x14ac:dyDescent="0.35">
      <c r="B38" s="56" t="s">
        <v>77</v>
      </c>
      <c r="C38" s="57" t="s">
        <v>78</v>
      </c>
      <c r="D38" s="232" t="s">
        <v>122</v>
      </c>
      <c r="E38" s="233"/>
      <c r="F38" s="234"/>
      <c r="G38" s="53" t="s">
        <v>7</v>
      </c>
      <c r="H38" s="54"/>
      <c r="I38" s="55"/>
      <c r="J38" s="61"/>
      <c r="K38" s="62"/>
      <c r="L38" s="62"/>
      <c r="M38" s="63"/>
      <c r="N38" s="64"/>
      <c r="O38" s="65"/>
      <c r="P38" s="65"/>
      <c r="Q38" s="66"/>
      <c r="R38" s="67"/>
      <c r="S38" s="68"/>
      <c r="T38" s="68"/>
      <c r="U38" s="69"/>
      <c r="V38" s="109"/>
      <c r="W38" s="110"/>
      <c r="X38" s="110"/>
      <c r="Y38" s="111"/>
      <c r="Z38" s="70"/>
      <c r="AA38" s="71"/>
      <c r="AB38" s="71"/>
      <c r="AC38" s="72"/>
      <c r="AD38" s="73"/>
      <c r="AE38" s="74"/>
      <c r="AF38" s="74"/>
      <c r="AG38" s="75"/>
      <c r="AH38" s="76"/>
      <c r="AI38" s="77"/>
      <c r="AJ38" s="77"/>
      <c r="AK38" s="78"/>
      <c r="AL38" s="79"/>
      <c r="AM38" s="80"/>
      <c r="AN38" s="80"/>
      <c r="AO38" s="81"/>
      <c r="AP38" s="41"/>
      <c r="AQ38" s="42"/>
      <c r="AR38" s="42"/>
      <c r="AS38" s="43"/>
      <c r="AT38" s="82"/>
      <c r="AU38" s="83"/>
      <c r="AV38" s="83"/>
      <c r="AW38" s="84"/>
      <c r="AX38" s="85"/>
      <c r="AY38" s="86"/>
      <c r="AZ38" s="86"/>
      <c r="BA38" s="87"/>
      <c r="BB38" s="88"/>
      <c r="BC38" s="89"/>
      <c r="BD38" s="89"/>
      <c r="BE38" s="90"/>
      <c r="BF38" s="91"/>
      <c r="BG38" s="92"/>
      <c r="BH38" s="92"/>
      <c r="BI38" s="93"/>
      <c r="BJ38" s="94"/>
      <c r="BK38" s="95"/>
      <c r="BL38" s="95"/>
      <c r="BM38" s="96"/>
      <c r="BN38" s="34"/>
      <c r="BO38" s="36"/>
      <c r="BP38" s="36"/>
      <c r="BQ38" s="35"/>
      <c r="BR38" s="79"/>
      <c r="BS38" s="80"/>
      <c r="BT38" s="80"/>
      <c r="BU38" s="81"/>
      <c r="BV38" s="97"/>
      <c r="BW38" s="98"/>
      <c r="BX38" s="98"/>
      <c r="BY38" s="99"/>
      <c r="BZ38" s="41"/>
      <c r="CA38" s="42"/>
      <c r="CB38" s="42"/>
      <c r="CC38" s="43"/>
      <c r="CD38" s="100"/>
      <c r="CE38" s="101"/>
      <c r="CF38" s="101"/>
      <c r="CG38" s="102"/>
      <c r="CH38" s="103"/>
      <c r="CI38" s="104"/>
      <c r="CJ38" s="104"/>
      <c r="CK38" s="105"/>
      <c r="CL38" s="109"/>
      <c r="CM38" s="110"/>
      <c r="CN38" s="110"/>
      <c r="CO38" s="111"/>
      <c r="CP38" s="140"/>
      <c r="CQ38" s="141"/>
      <c r="CR38" s="141"/>
      <c r="CS38" s="142"/>
      <c r="CT38" s="85"/>
      <c r="CU38" s="86"/>
      <c r="CV38" s="86"/>
      <c r="CW38" s="87"/>
      <c r="CX38" s="133"/>
      <c r="CY38" s="134"/>
      <c r="CZ38" s="134"/>
      <c r="DA38" s="135"/>
      <c r="DB38" s="144"/>
      <c r="DC38" s="145"/>
      <c r="DD38" s="145"/>
      <c r="DE38" s="146"/>
      <c r="DF38" s="153"/>
      <c r="DG38" s="151"/>
      <c r="DH38" s="151"/>
      <c r="DI38" s="152"/>
    </row>
    <row r="39" spans="2:113" ht="15" thickBot="1" x14ac:dyDescent="0.35">
      <c r="B39" s="25">
        <v>46222</v>
      </c>
      <c r="C39" s="32">
        <v>0.875</v>
      </c>
      <c r="D39" s="27"/>
      <c r="E39" s="28" t="s">
        <v>1</v>
      </c>
      <c r="F39" s="29"/>
      <c r="G39" s="27"/>
      <c r="H39" s="28" t="s">
        <v>1</v>
      </c>
      <c r="I39" s="29"/>
      <c r="J39" s="27"/>
      <c r="K39" s="28" t="s">
        <v>1</v>
      </c>
      <c r="L39" s="29"/>
      <c r="M39" s="11" t="str">
        <f>IF(ISBLANK($I39)=TRUE,"",IF(SIGN(J39-L39)=SIGN($G39-$I39),1,0)+IF(J39=$G39,IF(L39=$I39,2,0),0))</f>
        <v/>
      </c>
      <c r="N39" s="27"/>
      <c r="O39" s="28" t="s">
        <v>1</v>
      </c>
      <c r="P39" s="29"/>
      <c r="Q39" s="11" t="str">
        <f>IF(ISBLANK($I39)=TRUE,"",IF(SIGN(N39-P39)=SIGN($G39-$I39),1,0)+IF(N39=$G39,IF(P39=$I39,2,0),0))</f>
        <v/>
      </c>
      <c r="R39" s="27"/>
      <c r="S39" s="28" t="s">
        <v>1</v>
      </c>
      <c r="T39" s="29"/>
      <c r="U39" s="11" t="str">
        <f>IF(ISBLANK($I39)=TRUE,"",IF(SIGN(R39-T39)=SIGN($G39-$I39),1,0)+IF(R39=$G39,IF(T39=$I39,2,0),0))</f>
        <v/>
      </c>
      <c r="V39" s="27"/>
      <c r="W39" s="28" t="s">
        <v>1</v>
      </c>
      <c r="X39" s="29"/>
      <c r="Y39" s="11" t="str">
        <f>IF(ISBLANK($I39)=TRUE,"",IF(SIGN(V39-X39)=SIGN($G39-$I39),1,0)+IF(V39=$G39,IF(X39=$I39,2,0),0))</f>
        <v/>
      </c>
      <c r="Z39" s="27"/>
      <c r="AA39" s="28" t="s">
        <v>1</v>
      </c>
      <c r="AB39" s="29"/>
      <c r="AC39" s="11" t="str">
        <f>IF(ISBLANK($I39)=TRUE,"",IF(SIGN(Z39-AB39)=SIGN($G39-$I39),1,0)+IF(Z39=$G39,IF(AB39=$I39,2,0),0))</f>
        <v/>
      </c>
      <c r="AD39" s="27"/>
      <c r="AE39" s="28" t="s">
        <v>1</v>
      </c>
      <c r="AF39" s="29"/>
      <c r="AG39" s="11" t="str">
        <f>IF(ISBLANK($I39)=TRUE,"",IF(SIGN(AD39-AF39)=SIGN($G39-$I39),1,0)+IF(AD39=$G39,IF(AF39=$I39,2,0),0))</f>
        <v/>
      </c>
      <c r="AH39" s="27"/>
      <c r="AI39" s="28" t="s">
        <v>1</v>
      </c>
      <c r="AJ39" s="29"/>
      <c r="AK39" s="11" t="str">
        <f>IF(ISBLANK($I39)=TRUE,"",IF(SIGN(AH39-AJ39)=SIGN($G39-$I39),1,0)+IF(AH39=$G39,IF(AJ39=$I39,2,0),0))</f>
        <v/>
      </c>
      <c r="AL39" s="27"/>
      <c r="AM39" s="28" t="s">
        <v>1</v>
      </c>
      <c r="AN39" s="29"/>
      <c r="AO39" s="11" t="str">
        <f>IF(ISBLANK($I39)=TRUE,"",IF(SIGN(AL39-AN39)=SIGN($G39-$I39),1,0)+IF(AL39=$G39,IF(AN39=$I39,2,0),0))</f>
        <v/>
      </c>
      <c r="AP39" s="27"/>
      <c r="AQ39" s="28" t="s">
        <v>1</v>
      </c>
      <c r="AR39" s="29"/>
      <c r="AS39" s="11" t="str">
        <f>IF(ISBLANK($I39)=TRUE,"",IF(SIGN(AP39-AR39)=SIGN($G39-$I39),1,0)+IF(AP39=$G39,IF(AR39=$I39,2,0),0))</f>
        <v/>
      </c>
      <c r="AT39" s="27"/>
      <c r="AU39" s="28" t="s">
        <v>1</v>
      </c>
      <c r="AV39" s="29"/>
      <c r="AW39" s="11" t="str">
        <f>IF(ISBLANK($I39)=TRUE,"",IF(SIGN(AT39-AV39)=SIGN($G39-$I39),1,0)+IF(AT39=$G39,IF(AV39=$I39,2,0),0))</f>
        <v/>
      </c>
      <c r="AX39" s="27"/>
      <c r="AY39" s="28" t="s">
        <v>1</v>
      </c>
      <c r="AZ39" s="29"/>
      <c r="BA39" s="11" t="str">
        <f>IF(ISBLANK($I39)=TRUE,"",IF(SIGN(AX39-AZ39)=SIGN($G39-$I39),1,0)+IF(AX39=$G39,IF(AZ39=$I39,2,0),0))</f>
        <v/>
      </c>
      <c r="BB39" s="27"/>
      <c r="BC39" s="28" t="s">
        <v>1</v>
      </c>
      <c r="BD39" s="29"/>
      <c r="BE39" s="11" t="str">
        <f>IF(ISBLANK($I39)=TRUE,"",IF(SIGN(BB39-BD39)=SIGN($G39-$I39),1,0)+IF(BB39=$G39,IF(BD39=$I39,2,0),0))</f>
        <v/>
      </c>
      <c r="BF39" s="27"/>
      <c r="BG39" s="28" t="s">
        <v>1</v>
      </c>
      <c r="BH39" s="29"/>
      <c r="BI39" s="11" t="str">
        <f>IF(ISBLANK($I39)=TRUE,"",IF(SIGN(BF39-BH39)=SIGN($G39-$I39),1,0)+IF(BF39=$G39,IF(BH39=$I39,2,0),0))</f>
        <v/>
      </c>
      <c r="BJ39" s="27"/>
      <c r="BK39" s="28" t="s">
        <v>1</v>
      </c>
      <c r="BL39" s="29"/>
      <c r="BM39" s="11" t="str">
        <f>IF(ISBLANK($I39)=TRUE,"",IF(SIGN(BJ39-BL39)=SIGN($G39-$I39),1,0)+IF(BJ39=$G39,IF(BL39=$I39,2,0),0))</f>
        <v/>
      </c>
      <c r="BN39" s="27"/>
      <c r="BO39" s="28" t="s">
        <v>1</v>
      </c>
      <c r="BP39" s="29"/>
      <c r="BQ39" s="11" t="str">
        <f>IF(ISBLANK($I39)=TRUE,"",IF(SIGN(BN39-BP39)=SIGN($G39-$I39),1,0)+IF(BN39=$G39,IF(BP39=$I39,2,0),0))</f>
        <v/>
      </c>
      <c r="BR39" s="27"/>
      <c r="BS39" s="28" t="s">
        <v>1</v>
      </c>
      <c r="BT39" s="29"/>
      <c r="BU39" s="11" t="str">
        <f>IF(ISBLANK($I39)=TRUE,"",IF(SIGN(BR39-BT39)=SIGN($G39-$I39),1,0)+IF(BR39=$G39,IF(BT39=$I39,2,0),0))</f>
        <v/>
      </c>
      <c r="BV39" s="27"/>
      <c r="BW39" s="28" t="s">
        <v>1</v>
      </c>
      <c r="BX39" s="29"/>
      <c r="BY39" s="11" t="str">
        <f>IF(ISBLANK($I39)=TRUE,"",IF(SIGN(BV39-BX39)=SIGN($G39-$I39),1,0)+IF(BV39=$G39,IF(BX39=$I39,2,0),0))</f>
        <v/>
      </c>
      <c r="BZ39" s="27"/>
      <c r="CA39" s="28" t="s">
        <v>1</v>
      </c>
      <c r="CB39" s="29"/>
      <c r="CC39" s="11" t="str">
        <f>IF(ISBLANK($I39)=TRUE,"",IF(SIGN(BZ39-CB39)=SIGN($G39-$I39),1,0)+IF(BZ39=$G39,IF(CB39=$I39,2,0),0))</f>
        <v/>
      </c>
      <c r="CD39" s="27"/>
      <c r="CE39" s="28" t="s">
        <v>1</v>
      </c>
      <c r="CF39" s="29"/>
      <c r="CG39" s="11" t="str">
        <f>IF(ISBLANK($I39)=TRUE,"",IF(SIGN(CD39-CF39)=SIGN($G39-$I39),1,0)+IF(CD39=$G39,IF(CF39=$I39,2,0),0))</f>
        <v/>
      </c>
      <c r="CH39" s="27"/>
      <c r="CI39" s="28" t="s">
        <v>1</v>
      </c>
      <c r="CJ39" s="29"/>
      <c r="CK39" s="11" t="str">
        <f>IF(ISBLANK($I39)=TRUE,"",IF(SIGN(CH39-CJ39)=SIGN($G39-$I39),1,0)+IF(CH39=$G39,IF(CJ39=$I39,2,0),0))</f>
        <v/>
      </c>
      <c r="CL39" s="27"/>
      <c r="CM39" s="28" t="s">
        <v>1</v>
      </c>
      <c r="CN39" s="29"/>
      <c r="CO39" s="11" t="str">
        <f>IF(ISBLANK($I39)=TRUE,"",IF(SIGN(CL39-CN39)=SIGN($G39-$I39),1,0)+IF(CL39=$G39,IF(CN39=$I39,2,0),0))</f>
        <v/>
      </c>
      <c r="CP39" s="27"/>
      <c r="CQ39" s="28" t="s">
        <v>1</v>
      </c>
      <c r="CR39" s="29"/>
      <c r="CS39" s="11" t="str">
        <f>IF(ISBLANK($I39)=TRUE,"",IF(SIGN(CP39-CR39)=SIGN($G39-$I39),1,0)+IF(CP39=$G39,IF(CR39=$I39,2,0),0))</f>
        <v/>
      </c>
      <c r="CT39" s="27"/>
      <c r="CU39" s="28" t="s">
        <v>1</v>
      </c>
      <c r="CV39" s="29"/>
      <c r="CW39" s="11" t="str">
        <f>IF(ISBLANK($I39)=TRUE,"",IF(SIGN(CT39-CV39)=SIGN($G39-$I39),1,0)+IF(CT39=$G39,IF(CV39=$I39,2,0),0))</f>
        <v/>
      </c>
      <c r="CX39" s="27"/>
      <c r="CY39" s="28" t="s">
        <v>1</v>
      </c>
      <c r="CZ39" s="29"/>
      <c r="DA39" s="11" t="str">
        <f>IF(ISBLANK($I39)=TRUE,"",IF(SIGN(CX39-CZ39)=SIGN($G39-$I39),1,0)+IF(CX39=$G39,IF(CZ39=$I39,2,0),0))</f>
        <v/>
      </c>
      <c r="DB39" s="27"/>
      <c r="DC39" s="28" t="s">
        <v>1</v>
      </c>
      <c r="DD39" s="29"/>
      <c r="DE39" s="11" t="str">
        <f>IF(ISBLANK($I39)=TRUE,"",IF(SIGN(DB39-DD39)=SIGN($G39-$I39),1,0)+IF(DB39=$G39,IF(DD39=$I39,2,0),0))</f>
        <v/>
      </c>
      <c r="DF39" s="27"/>
      <c r="DG39" s="28" t="s">
        <v>1</v>
      </c>
      <c r="DH39" s="29"/>
      <c r="DI39" s="11" t="str">
        <f>IF(ISBLANK($I39)=TRUE,"",IF(SIGN(DF39-DH39)=SIGN($G39-$I39),1,0)+IF(DF39=$G39,IF(DH39=$I39,2,0),0))</f>
        <v/>
      </c>
    </row>
    <row r="40" spans="2:113" ht="15" thickBot="1" x14ac:dyDescent="0.35">
      <c r="B40" s="184" t="s">
        <v>129</v>
      </c>
      <c r="C40" s="185"/>
      <c r="D40" s="185"/>
      <c r="E40" s="185"/>
      <c r="F40" s="185"/>
      <c r="G40" s="185"/>
      <c r="H40" s="185"/>
      <c r="I40" s="186"/>
      <c r="J40" s="187">
        <f>SUM(M3:M39)</f>
        <v>0</v>
      </c>
      <c r="K40" s="188"/>
      <c r="L40" s="188"/>
      <c r="M40" s="189"/>
      <c r="N40" s="166">
        <f>SUM(Q3:Q39)</f>
        <v>0</v>
      </c>
      <c r="O40" s="167"/>
      <c r="P40" s="167"/>
      <c r="Q40" s="168"/>
      <c r="R40" s="172">
        <f>SUM(U3:U39)</f>
        <v>0</v>
      </c>
      <c r="S40" s="173"/>
      <c r="T40" s="173"/>
      <c r="U40" s="174"/>
      <c r="V40" s="175">
        <f>SUM(Y3:Y39)</f>
        <v>0</v>
      </c>
      <c r="W40" s="176"/>
      <c r="X40" s="176"/>
      <c r="Y40" s="177"/>
      <c r="Z40" s="169">
        <f>SUM(AC3:AC39)</f>
        <v>0</v>
      </c>
      <c r="AA40" s="170"/>
      <c r="AB40" s="170"/>
      <c r="AC40" s="171"/>
      <c r="AD40" s="178">
        <f>SUM(AG3:AG39)</f>
        <v>0</v>
      </c>
      <c r="AE40" s="179"/>
      <c r="AF40" s="179"/>
      <c r="AG40" s="180"/>
      <c r="AH40" s="181">
        <f>SUM(AK3:AK39)</f>
        <v>0</v>
      </c>
      <c r="AI40" s="182"/>
      <c r="AJ40" s="182"/>
      <c r="AK40" s="183"/>
      <c r="AL40" s="190">
        <f>SUM(AO3:AO39)</f>
        <v>0</v>
      </c>
      <c r="AM40" s="191"/>
      <c r="AN40" s="191"/>
      <c r="AO40" s="192"/>
      <c r="AP40" s="193">
        <f>SUM(AS3:AS39)</f>
        <v>0</v>
      </c>
      <c r="AQ40" s="194"/>
      <c r="AR40" s="194"/>
      <c r="AS40" s="195"/>
      <c r="AT40" s="196">
        <f>SUM(AW3:AW39)</f>
        <v>0</v>
      </c>
      <c r="AU40" s="197"/>
      <c r="AV40" s="197"/>
      <c r="AW40" s="198"/>
      <c r="AX40" s="166">
        <f>SUM(BA3:BA39)</f>
        <v>0</v>
      </c>
      <c r="AY40" s="167"/>
      <c r="AZ40" s="167"/>
      <c r="BA40" s="168"/>
      <c r="BB40" s="187">
        <f>SUM(BE3:BE39)</f>
        <v>0</v>
      </c>
      <c r="BC40" s="188"/>
      <c r="BD40" s="188"/>
      <c r="BE40" s="189"/>
      <c r="BF40" s="205">
        <f>SUM(BI3:BI39)</f>
        <v>0</v>
      </c>
      <c r="BG40" s="206"/>
      <c r="BH40" s="206"/>
      <c r="BI40" s="207"/>
      <c r="BJ40" s="208">
        <f>SUM(BM3:BM39)</f>
        <v>0</v>
      </c>
      <c r="BK40" s="209"/>
      <c r="BL40" s="209"/>
      <c r="BM40" s="210"/>
      <c r="BN40" s="211">
        <f>SUM(BQ3:BQ39)</f>
        <v>0</v>
      </c>
      <c r="BO40" s="212"/>
      <c r="BP40" s="212"/>
      <c r="BQ40" s="213"/>
      <c r="BR40" s="190">
        <f>SUM(BU3:BU39)</f>
        <v>0</v>
      </c>
      <c r="BS40" s="191"/>
      <c r="BT40" s="191"/>
      <c r="BU40" s="192"/>
      <c r="BV40" s="223">
        <f>SUM(BY3:BY39)</f>
        <v>0</v>
      </c>
      <c r="BW40" s="224"/>
      <c r="BX40" s="224"/>
      <c r="BY40" s="225"/>
      <c r="BZ40" s="193">
        <f>SUM(CC3:CC39)</f>
        <v>0</v>
      </c>
      <c r="CA40" s="194"/>
      <c r="CB40" s="194"/>
      <c r="CC40" s="195"/>
      <c r="CD40" s="199">
        <f>SUM(CG3:CG39)</f>
        <v>0</v>
      </c>
      <c r="CE40" s="200"/>
      <c r="CF40" s="200"/>
      <c r="CG40" s="201"/>
      <c r="CH40" s="217">
        <f>SUM(CK3:CK39)</f>
        <v>0</v>
      </c>
      <c r="CI40" s="218"/>
      <c r="CJ40" s="218"/>
      <c r="CK40" s="219"/>
      <c r="CL40" s="175">
        <f>SUM(CO3:CO39)</f>
        <v>0</v>
      </c>
      <c r="CM40" s="176"/>
      <c r="CN40" s="176"/>
      <c r="CO40" s="177"/>
      <c r="CP40" s="229">
        <f>SUM(CS3:CS39)</f>
        <v>0</v>
      </c>
      <c r="CQ40" s="230"/>
      <c r="CR40" s="230"/>
      <c r="CS40" s="231"/>
      <c r="CT40" s="166">
        <f>SUM(CW3:CW39)</f>
        <v>0</v>
      </c>
      <c r="CU40" s="167"/>
      <c r="CV40" s="167"/>
      <c r="CW40" s="168"/>
      <c r="CX40" s="160">
        <f>SUM(DA3:DA39)</f>
        <v>0</v>
      </c>
      <c r="CY40" s="161"/>
      <c r="CZ40" s="161"/>
      <c r="DA40" s="162"/>
      <c r="DB40" s="226">
        <f>SUM(DE3:DE39)</f>
        <v>0</v>
      </c>
      <c r="DC40" s="227"/>
      <c r="DD40" s="227"/>
      <c r="DE40" s="228"/>
      <c r="DF40" s="169">
        <f>SUM(DI3:DI39)</f>
        <v>0</v>
      </c>
      <c r="DG40" s="170"/>
      <c r="DH40" s="170"/>
      <c r="DI40" s="171"/>
    </row>
    <row r="41" spans="2:113" x14ac:dyDescent="0.3">
      <c r="E41" s="44"/>
    </row>
    <row r="42" spans="2:113" x14ac:dyDescent="0.3">
      <c r="E42" s="44"/>
    </row>
    <row r="43" spans="2:113" x14ac:dyDescent="0.3">
      <c r="E43" s="44"/>
    </row>
    <row r="44" spans="2:113" x14ac:dyDescent="0.3">
      <c r="E44" s="44"/>
    </row>
    <row r="45" spans="2:113" x14ac:dyDescent="0.3">
      <c r="E45" s="44"/>
    </row>
    <row r="46" spans="2:113" x14ac:dyDescent="0.3">
      <c r="E46" s="44"/>
    </row>
    <row r="47" spans="2:113" x14ac:dyDescent="0.3">
      <c r="E47" s="44"/>
    </row>
    <row r="48" spans="2:113" x14ac:dyDescent="0.3">
      <c r="E48" s="44"/>
    </row>
    <row r="49" spans="5:5" x14ac:dyDescent="0.3">
      <c r="E49" s="44"/>
    </row>
    <row r="50" spans="5:5" x14ac:dyDescent="0.3">
      <c r="E50" s="44"/>
    </row>
    <row r="51" spans="5:5" x14ac:dyDescent="0.3">
      <c r="E51" s="44"/>
    </row>
    <row r="52" spans="5:5" x14ac:dyDescent="0.3">
      <c r="E52" s="44"/>
    </row>
    <row r="53" spans="5:5" x14ac:dyDescent="0.3">
      <c r="E53" s="44"/>
    </row>
    <row r="54" spans="5:5" x14ac:dyDescent="0.3">
      <c r="E54" s="44"/>
    </row>
    <row r="55" spans="5:5" x14ac:dyDescent="0.3">
      <c r="E55" s="44"/>
    </row>
    <row r="56" spans="5:5" x14ac:dyDescent="0.3">
      <c r="E56" s="44"/>
    </row>
    <row r="57" spans="5:5" x14ac:dyDescent="0.3">
      <c r="E57" s="44"/>
    </row>
    <row r="58" spans="5:5" x14ac:dyDescent="0.3">
      <c r="E58" s="44"/>
    </row>
  </sheetData>
  <mergeCells count="59">
    <mergeCell ref="CH2:CK2"/>
    <mergeCell ref="CL2:CO2"/>
    <mergeCell ref="CP2:CS2"/>
    <mergeCell ref="CT2:CW2"/>
    <mergeCell ref="CX2:DA2"/>
    <mergeCell ref="BN2:BQ2"/>
    <mergeCell ref="BR2:BU2"/>
    <mergeCell ref="BV2:BY2"/>
    <mergeCell ref="BZ2:CC2"/>
    <mergeCell ref="CD2:CG2"/>
    <mergeCell ref="AT2:AW2"/>
    <mergeCell ref="AX2:BA2"/>
    <mergeCell ref="BB2:BE2"/>
    <mergeCell ref="BF2:BI2"/>
    <mergeCell ref="BJ2:BM2"/>
    <mergeCell ref="Z2:AC2"/>
    <mergeCell ref="AD2:AG2"/>
    <mergeCell ref="AH2:AK2"/>
    <mergeCell ref="AL2:AO2"/>
    <mergeCell ref="AP2:AS2"/>
    <mergeCell ref="BR40:BU40"/>
    <mergeCell ref="BV40:BY40"/>
    <mergeCell ref="BZ40:CC40"/>
    <mergeCell ref="CD40:CG40"/>
    <mergeCell ref="CH40:CK40"/>
    <mergeCell ref="AX40:BA40"/>
    <mergeCell ref="BB40:BE40"/>
    <mergeCell ref="BF40:BI40"/>
    <mergeCell ref="BJ40:BM40"/>
    <mergeCell ref="BN40:BQ40"/>
    <mergeCell ref="AD40:AG40"/>
    <mergeCell ref="AH40:AK40"/>
    <mergeCell ref="AL40:AO40"/>
    <mergeCell ref="AP40:AS40"/>
    <mergeCell ref="AT40:AW40"/>
    <mergeCell ref="Z40:AC40"/>
    <mergeCell ref="R40:U40"/>
    <mergeCell ref="V40:Y40"/>
    <mergeCell ref="D2:F2"/>
    <mergeCell ref="N40:Q40"/>
    <mergeCell ref="D19:F19"/>
    <mergeCell ref="D28:F28"/>
    <mergeCell ref="D33:F33"/>
    <mergeCell ref="D38:F38"/>
    <mergeCell ref="B40:I40"/>
    <mergeCell ref="J40:M40"/>
    <mergeCell ref="D36:F36"/>
    <mergeCell ref="J2:M2"/>
    <mergeCell ref="N2:Q2"/>
    <mergeCell ref="R2:U2"/>
    <mergeCell ref="V2:Y2"/>
    <mergeCell ref="DF2:DI2"/>
    <mergeCell ref="DF40:DI40"/>
    <mergeCell ref="CX40:DA40"/>
    <mergeCell ref="DB40:DE40"/>
    <mergeCell ref="CL40:CO40"/>
    <mergeCell ref="CP40:CS40"/>
    <mergeCell ref="CT40:CW40"/>
    <mergeCell ref="DB2:DE2"/>
  </mergeCells>
  <conditionalFormatting sqref="M3">
    <cfRule type="colorScale" priority="25">
      <colorScale>
        <cfvo type="num" val="0"/>
        <cfvo type="num" val="3"/>
        <color theme="0"/>
        <color theme="9"/>
      </colorScale>
    </cfRule>
  </conditionalFormatting>
  <conditionalFormatting sqref="M4:M7">
    <cfRule type="colorScale" priority="51">
      <colorScale>
        <cfvo type="num" val="0"/>
        <cfvo type="num" val="3"/>
        <color theme="0"/>
        <color theme="9"/>
      </colorScale>
    </cfRule>
  </conditionalFormatting>
  <conditionalFormatting sqref="M8:M18 Q8:Q18 U8:U18 Y8:Y18 AC8:AC18 AG8:AG18 AK8:AK18 AO8:AO18 AS8:AS18 AW8:AW18 BA8:BA18 BE8:BE18 BI8:BI18 BM8:BM18 BQ8:BQ18 BU8:BU18 BY8:BY18 CC8:CC18 CG8:CG18 CK8:CK18 CO8:CO18 CS8:CS18 CW8:CW18 DA8:DA18 DE8:DE18 DI8:DI18">
    <cfRule type="colorScale" priority="57">
      <colorScale>
        <cfvo type="num" val="0"/>
        <cfvo type="num" val="3"/>
        <color theme="0"/>
        <color theme="9"/>
      </colorScale>
    </cfRule>
  </conditionalFormatting>
  <conditionalFormatting sqref="M20:M27 Q20:Q27 U20:U27 Y20:Y27 AC20:AC27 AG20:AG27 AK20:AK27 AO20:AO27 AS20:AS27 AW20:AW27 BA20:BA27 BE20:BE27 BI20:BI27 BM20:BM27 BQ20:BQ27 BU20:BU27 BY20:BY27 CC20:CC27 CG20:CG27 CK20:CK27 CO20:CO27 CS20:CS27 CW20:CW27 DA20:DA27 DE20:DE27 DI20:DI27">
    <cfRule type="colorScale" priority="56">
      <colorScale>
        <cfvo type="num" val="0"/>
        <cfvo type="num" val="3"/>
        <color theme="0"/>
        <color theme="9"/>
      </colorScale>
    </cfRule>
  </conditionalFormatting>
  <conditionalFormatting sqref="M29:M32 Q29:Q32 U29:U32 Y29:Y32 AC29:AC32 AG29:AG32 AK29:AK32 AO29:AO32 AS29:AS32 AW29:AW32 BA29:BA32 BE29:BE32 BI29:BI32 BM29:BM32 BQ29:BQ32 BU29:BU32 BY29:BY32 CC29:CC32 CG29:CG32 CK29:CK32 CO29:CO32 CS29:CS32 CW29:CW32 DA29:DA32 DE29:DE32 DI29:DI32">
    <cfRule type="colorScale" priority="55">
      <colorScale>
        <cfvo type="num" val="0"/>
        <cfvo type="num" val="3"/>
        <color theme="0"/>
        <color theme="9"/>
      </colorScale>
    </cfRule>
  </conditionalFormatting>
  <conditionalFormatting sqref="M34:M35 Q34:Q35 U34:U35 Y34:Y35 AC34:AC35 AG34:AG35 AK34:AK35 AO34:AO35 AS34:AS35 AW34:AW35 BA34:BA35 BE34:BE35 BI34:BI35 BM34:BM35 BQ34:BQ35 BU34:BU35 BY34:BY35 CC34:CC35 CG34:CG35 CK34:CK35 CO34:CO35 CS34:CS35 CW34:CW35 DA34:DA35 DE34:DE35 DI34:DI35">
    <cfRule type="colorScale" priority="54">
      <colorScale>
        <cfvo type="num" val="0"/>
        <cfvo type="num" val="3"/>
        <color theme="0"/>
        <color theme="9"/>
      </colorScale>
    </cfRule>
  </conditionalFormatting>
  <conditionalFormatting sqref="M37 Q37 U37 Y37 AC37 AK37 AG37 AO37 AS37 AW37 BA37 BE37 BI37 BM37 BQ37 BY37 BU37 CC37 CG37 CK37 CO37 CS37 CW37 DA37 DE37 DI37">
    <cfRule type="colorScale" priority="53">
      <colorScale>
        <cfvo type="num" val="0"/>
        <cfvo type="num" val="3"/>
        <color theme="0"/>
        <color theme="9"/>
      </colorScale>
    </cfRule>
  </conditionalFormatting>
  <conditionalFormatting sqref="M39 Q39 U39 Y39 AC39 AK39 AG39 AO39 AS39 AW39 BA39 BE39 BI39 BM39 BQ39 BY39 BU39 CC39 CG39 CK39 CO39 CS39 CW39 DA39 DE39 DI39">
    <cfRule type="colorScale" priority="52">
      <colorScale>
        <cfvo type="num" val="0"/>
        <cfvo type="num" val="3"/>
        <color theme="0"/>
        <color theme="9"/>
      </colorScale>
    </cfRule>
  </conditionalFormatting>
  <conditionalFormatting sqref="Q3">
    <cfRule type="colorScale" priority="23">
      <colorScale>
        <cfvo type="num" val="0"/>
        <cfvo type="num" val="3"/>
        <color theme="0"/>
        <color theme="9"/>
      </colorScale>
    </cfRule>
  </conditionalFormatting>
  <conditionalFormatting sqref="Q4:Q7">
    <cfRule type="colorScale" priority="49">
      <colorScale>
        <cfvo type="num" val="0"/>
        <cfvo type="num" val="3"/>
        <color theme="0"/>
        <color theme="9"/>
      </colorScale>
    </cfRule>
  </conditionalFormatting>
  <conditionalFormatting sqref="U3">
    <cfRule type="colorScale" priority="22">
      <colorScale>
        <cfvo type="num" val="0"/>
        <cfvo type="num" val="3"/>
        <color theme="0"/>
        <color theme="9"/>
      </colorScale>
    </cfRule>
  </conditionalFormatting>
  <conditionalFormatting sqref="U4:U7">
    <cfRule type="colorScale" priority="48">
      <colorScale>
        <cfvo type="num" val="0"/>
        <cfvo type="num" val="3"/>
        <color theme="0"/>
        <color theme="9"/>
      </colorScale>
    </cfRule>
  </conditionalFormatting>
  <conditionalFormatting sqref="Y3">
    <cfRule type="colorScale" priority="21">
      <colorScale>
        <cfvo type="num" val="0"/>
        <cfvo type="num" val="3"/>
        <color theme="0"/>
        <color theme="9"/>
      </colorScale>
    </cfRule>
  </conditionalFormatting>
  <conditionalFormatting sqref="Y4:Y7">
    <cfRule type="colorScale" priority="47">
      <colorScale>
        <cfvo type="num" val="0"/>
        <cfvo type="num" val="3"/>
        <color theme="0"/>
        <color theme="9"/>
      </colorScale>
    </cfRule>
  </conditionalFormatting>
  <conditionalFormatting sqref="AC3">
    <cfRule type="colorScale" priority="20">
      <colorScale>
        <cfvo type="num" val="0"/>
        <cfvo type="num" val="3"/>
        <color theme="0"/>
        <color theme="9"/>
      </colorScale>
    </cfRule>
  </conditionalFormatting>
  <conditionalFormatting sqref="AC4:AC7">
    <cfRule type="colorScale" priority="46">
      <colorScale>
        <cfvo type="num" val="0"/>
        <cfvo type="num" val="3"/>
        <color theme="0"/>
        <color theme="9"/>
      </colorScale>
    </cfRule>
  </conditionalFormatting>
  <conditionalFormatting sqref="AG3">
    <cfRule type="colorScale" priority="19">
      <colorScale>
        <cfvo type="num" val="0"/>
        <cfvo type="num" val="3"/>
        <color theme="0"/>
        <color theme="9"/>
      </colorScale>
    </cfRule>
  </conditionalFormatting>
  <conditionalFormatting sqref="AG4:AG7">
    <cfRule type="colorScale" priority="45">
      <colorScale>
        <cfvo type="num" val="0"/>
        <cfvo type="num" val="3"/>
        <color theme="0"/>
        <color theme="9"/>
      </colorScale>
    </cfRule>
  </conditionalFormatting>
  <conditionalFormatting sqref="AK3">
    <cfRule type="colorScale" priority="18">
      <colorScale>
        <cfvo type="num" val="0"/>
        <cfvo type="num" val="3"/>
        <color theme="0"/>
        <color theme="9"/>
      </colorScale>
    </cfRule>
  </conditionalFormatting>
  <conditionalFormatting sqref="AK4:AK7">
    <cfRule type="colorScale" priority="44">
      <colorScale>
        <cfvo type="num" val="0"/>
        <cfvo type="num" val="3"/>
        <color theme="0"/>
        <color theme="9"/>
      </colorScale>
    </cfRule>
  </conditionalFormatting>
  <conditionalFormatting sqref="AO3">
    <cfRule type="colorScale" priority="17">
      <colorScale>
        <cfvo type="num" val="0"/>
        <cfvo type="num" val="3"/>
        <color theme="0"/>
        <color theme="9"/>
      </colorScale>
    </cfRule>
  </conditionalFormatting>
  <conditionalFormatting sqref="AO4:AO7">
    <cfRule type="colorScale" priority="43">
      <colorScale>
        <cfvo type="num" val="0"/>
        <cfvo type="num" val="3"/>
        <color theme="0"/>
        <color theme="9"/>
      </colorScale>
    </cfRule>
  </conditionalFormatting>
  <conditionalFormatting sqref="AS3">
    <cfRule type="colorScale" priority="16">
      <colorScale>
        <cfvo type="num" val="0"/>
        <cfvo type="num" val="3"/>
        <color theme="0"/>
        <color theme="9"/>
      </colorScale>
    </cfRule>
  </conditionalFormatting>
  <conditionalFormatting sqref="AS4:AS7">
    <cfRule type="colorScale" priority="42">
      <colorScale>
        <cfvo type="num" val="0"/>
        <cfvo type="num" val="3"/>
        <color theme="0"/>
        <color theme="9"/>
      </colorScale>
    </cfRule>
  </conditionalFormatting>
  <conditionalFormatting sqref="AW3">
    <cfRule type="colorScale" priority="15">
      <colorScale>
        <cfvo type="num" val="0"/>
        <cfvo type="num" val="3"/>
        <color theme="0"/>
        <color theme="9"/>
      </colorScale>
    </cfRule>
  </conditionalFormatting>
  <conditionalFormatting sqref="AW4:AW7">
    <cfRule type="colorScale" priority="41">
      <colorScale>
        <cfvo type="num" val="0"/>
        <cfvo type="num" val="3"/>
        <color theme="0"/>
        <color theme="9"/>
      </colorScale>
    </cfRule>
  </conditionalFormatting>
  <conditionalFormatting sqref="BA3">
    <cfRule type="colorScale" priority="14">
      <colorScale>
        <cfvo type="num" val="0"/>
        <cfvo type="num" val="3"/>
        <color theme="0"/>
        <color theme="9"/>
      </colorScale>
    </cfRule>
  </conditionalFormatting>
  <conditionalFormatting sqref="BA4:BA7">
    <cfRule type="colorScale" priority="40">
      <colorScale>
        <cfvo type="num" val="0"/>
        <cfvo type="num" val="3"/>
        <color theme="0"/>
        <color theme="9"/>
      </colorScale>
    </cfRule>
  </conditionalFormatting>
  <conditionalFormatting sqref="BE3">
    <cfRule type="colorScale" priority="4">
      <colorScale>
        <cfvo type="num" val="0"/>
        <cfvo type="num" val="3"/>
        <color theme="0"/>
        <color theme="9"/>
      </colorScale>
    </cfRule>
  </conditionalFormatting>
  <conditionalFormatting sqref="BE4:BE7">
    <cfRule type="colorScale" priority="31">
      <colorScale>
        <cfvo type="num" val="0"/>
        <cfvo type="num" val="3"/>
        <color theme="0"/>
        <color theme="9"/>
      </colorScale>
    </cfRule>
  </conditionalFormatting>
  <conditionalFormatting sqref="BI3">
    <cfRule type="colorScale" priority="13">
      <colorScale>
        <cfvo type="num" val="0"/>
        <cfvo type="num" val="3"/>
        <color theme="0"/>
        <color theme="9"/>
      </colorScale>
    </cfRule>
  </conditionalFormatting>
  <conditionalFormatting sqref="BI4:BI7">
    <cfRule type="colorScale" priority="39">
      <colorScale>
        <cfvo type="num" val="0"/>
        <cfvo type="num" val="3"/>
        <color theme="0"/>
        <color theme="9"/>
      </colorScale>
    </cfRule>
  </conditionalFormatting>
  <conditionalFormatting sqref="BM3">
    <cfRule type="colorScale" priority="12">
      <colorScale>
        <cfvo type="num" val="0"/>
        <cfvo type="num" val="3"/>
        <color theme="0"/>
        <color theme="9"/>
      </colorScale>
    </cfRule>
  </conditionalFormatting>
  <conditionalFormatting sqref="BM4:BM7">
    <cfRule type="colorScale" priority="38">
      <colorScale>
        <cfvo type="num" val="0"/>
        <cfvo type="num" val="3"/>
        <color theme="0"/>
        <color theme="9"/>
      </colorScale>
    </cfRule>
  </conditionalFormatting>
  <conditionalFormatting sqref="BQ3">
    <cfRule type="colorScale" priority="24">
      <colorScale>
        <cfvo type="num" val="0"/>
        <cfvo type="num" val="3"/>
        <color theme="0"/>
        <color theme="9"/>
      </colorScale>
    </cfRule>
  </conditionalFormatting>
  <conditionalFormatting sqref="BQ4:BQ7">
    <cfRule type="colorScale" priority="50">
      <colorScale>
        <cfvo type="num" val="0"/>
        <cfvo type="num" val="3"/>
        <color theme="0"/>
        <color theme="9"/>
      </colorScale>
    </cfRule>
  </conditionalFormatting>
  <conditionalFormatting sqref="BU3">
    <cfRule type="colorScale" priority="3">
      <colorScale>
        <cfvo type="num" val="0"/>
        <cfvo type="num" val="3"/>
        <color theme="0"/>
        <color theme="9"/>
      </colorScale>
    </cfRule>
  </conditionalFormatting>
  <conditionalFormatting sqref="BU4:BU7">
    <cfRule type="colorScale" priority="30">
      <colorScale>
        <cfvo type="num" val="0"/>
        <cfvo type="num" val="3"/>
        <color theme="0"/>
        <color theme="9"/>
      </colorScale>
    </cfRule>
  </conditionalFormatting>
  <conditionalFormatting sqref="BY3">
    <cfRule type="colorScale" priority="11">
      <colorScale>
        <cfvo type="num" val="0"/>
        <cfvo type="num" val="3"/>
        <color theme="0"/>
        <color theme="9"/>
      </colorScale>
    </cfRule>
  </conditionalFormatting>
  <conditionalFormatting sqref="BY4:BY7">
    <cfRule type="colorScale" priority="37">
      <colorScale>
        <cfvo type="num" val="0"/>
        <cfvo type="num" val="3"/>
        <color theme="0"/>
        <color theme="9"/>
      </colorScale>
    </cfRule>
  </conditionalFormatting>
  <conditionalFormatting sqref="CC3">
    <cfRule type="colorScale" priority="10">
      <colorScale>
        <cfvo type="num" val="0"/>
        <cfvo type="num" val="3"/>
        <color theme="0"/>
        <color theme="9"/>
      </colorScale>
    </cfRule>
  </conditionalFormatting>
  <conditionalFormatting sqref="CC4:CC7">
    <cfRule type="colorScale" priority="36">
      <colorScale>
        <cfvo type="num" val="0"/>
        <cfvo type="num" val="3"/>
        <color theme="0"/>
        <color theme="9"/>
      </colorScale>
    </cfRule>
  </conditionalFormatting>
  <conditionalFormatting sqref="CG3">
    <cfRule type="colorScale" priority="9">
      <colorScale>
        <cfvo type="num" val="0"/>
        <cfvo type="num" val="3"/>
        <color theme="0"/>
        <color theme="9"/>
      </colorScale>
    </cfRule>
  </conditionalFormatting>
  <conditionalFormatting sqref="CG4:CG7">
    <cfRule type="colorScale" priority="35">
      <colorScale>
        <cfvo type="num" val="0"/>
        <cfvo type="num" val="3"/>
        <color theme="0"/>
        <color theme="9"/>
      </colorScale>
    </cfRule>
  </conditionalFormatting>
  <conditionalFormatting sqref="CK3">
    <cfRule type="colorScale" priority="8">
      <colorScale>
        <cfvo type="num" val="0"/>
        <cfvo type="num" val="3"/>
        <color theme="0"/>
        <color theme="9"/>
      </colorScale>
    </cfRule>
  </conditionalFormatting>
  <conditionalFormatting sqref="CK4:CK7 CW4:CW7">
    <cfRule type="colorScale" priority="34">
      <colorScale>
        <cfvo type="num" val="0"/>
        <cfvo type="num" val="3"/>
        <color theme="0"/>
        <color theme="9"/>
      </colorScale>
    </cfRule>
  </conditionalFormatting>
  <conditionalFormatting sqref="CO3">
    <cfRule type="colorScale" priority="7">
      <colorScale>
        <cfvo type="num" val="0"/>
        <cfvo type="num" val="3"/>
        <color theme="0"/>
        <color theme="9"/>
      </colorScale>
    </cfRule>
  </conditionalFormatting>
  <conditionalFormatting sqref="CO4:CO7">
    <cfRule type="colorScale" priority="29">
      <colorScale>
        <cfvo type="num" val="0"/>
        <cfvo type="num" val="3"/>
        <color theme="0"/>
        <color theme="9"/>
      </colorScale>
    </cfRule>
  </conditionalFormatting>
  <conditionalFormatting sqref="CS3">
    <cfRule type="colorScale" priority="6">
      <colorScale>
        <cfvo type="num" val="0"/>
        <cfvo type="num" val="3"/>
        <color theme="0"/>
        <color theme="9"/>
      </colorScale>
    </cfRule>
  </conditionalFormatting>
  <conditionalFormatting sqref="CS4:CS7">
    <cfRule type="colorScale" priority="28">
      <colorScale>
        <cfvo type="num" val="0"/>
        <cfvo type="num" val="3"/>
        <color theme="0"/>
        <color theme="9"/>
      </colorScale>
    </cfRule>
  </conditionalFormatting>
  <conditionalFormatting sqref="CW3">
    <cfRule type="colorScale" priority="5">
      <colorScale>
        <cfvo type="num" val="0"/>
        <cfvo type="num" val="3"/>
        <color theme="0"/>
        <color theme="9"/>
      </colorScale>
    </cfRule>
  </conditionalFormatting>
  <conditionalFormatting sqref="DA3">
    <cfRule type="colorScale" priority="2">
      <colorScale>
        <cfvo type="num" val="0"/>
        <cfvo type="num" val="3"/>
        <color theme="0"/>
        <color theme="9"/>
      </colorScale>
    </cfRule>
  </conditionalFormatting>
  <conditionalFormatting sqref="DA4:DA7">
    <cfRule type="colorScale" priority="27">
      <colorScale>
        <cfvo type="num" val="0"/>
        <cfvo type="num" val="3"/>
        <color theme="0"/>
        <color theme="9"/>
      </colorScale>
    </cfRule>
  </conditionalFormatting>
  <conditionalFormatting sqref="DE4:DE7 DI4:DI7">
    <cfRule type="colorScale" priority="26">
      <colorScale>
        <cfvo type="num" val="0"/>
        <cfvo type="num" val="3"/>
        <color theme="0"/>
        <color theme="9"/>
      </colorScale>
    </cfRule>
  </conditionalFormatting>
  <conditionalFormatting sqref="DI3 DE3">
    <cfRule type="colorScale" priority="1">
      <colorScale>
        <cfvo type="num" val="0"/>
        <cfvo type="num" val="3"/>
        <color theme="0"/>
        <color theme="9"/>
      </colorScale>
    </cfRule>
  </conditionalFormatting>
  <conditionalFormatting sqref="DM3:DM7">
    <cfRule type="colorScale" priority="33">
      <colorScale>
        <cfvo type="num" val="0"/>
        <cfvo type="num" val="3"/>
        <color theme="0"/>
        <color theme="9"/>
      </colorScale>
    </cfRule>
  </conditionalFormatting>
  <conditionalFormatting sqref="DQ3:DQ7">
    <cfRule type="colorScale" priority="32">
      <colorScale>
        <cfvo type="num" val="0"/>
        <cfvo type="num" val="3"/>
        <color theme="0"/>
        <color theme="9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4864-1BC4-4CC2-A75F-01ADCFA0670D}">
  <dimension ref="B1:BF44"/>
  <sheetViews>
    <sheetView tabSelected="1" zoomScale="70" zoomScaleNormal="70" workbookViewId="0">
      <selection activeCell="E13" sqref="E13:F14"/>
    </sheetView>
  </sheetViews>
  <sheetFormatPr baseColWidth="10" defaultColWidth="11.44140625" defaultRowHeight="14.4" x14ac:dyDescent="0.3"/>
  <cols>
    <col min="1" max="1" width="4" style="44" customWidth="1"/>
    <col min="2" max="2" width="3.5546875" style="44" customWidth="1"/>
    <col min="3" max="3" width="56.109375" style="44" bestFit="1" customWidth="1"/>
    <col min="4" max="4" width="3.109375" style="44" bestFit="1" customWidth="1"/>
    <col min="5" max="5" width="23.5546875" style="44" bestFit="1" customWidth="1"/>
    <col min="6" max="6" width="5.109375" style="44" customWidth="1"/>
    <col min="7" max="7" width="17.109375" style="44" customWidth="1"/>
    <col min="8" max="8" width="3.6640625" style="44" customWidth="1"/>
    <col min="9" max="9" width="17.109375" style="44" customWidth="1"/>
    <col min="10" max="10" width="3.6640625" style="44" customWidth="1"/>
    <col min="11" max="11" width="17.109375" style="44" customWidth="1"/>
    <col min="12" max="12" width="3.6640625" style="44" customWidth="1"/>
    <col min="13" max="13" width="17.109375" style="44" customWidth="1"/>
    <col min="14" max="14" width="3.6640625" style="44" customWidth="1"/>
    <col min="15" max="15" width="17.109375" style="44" customWidth="1"/>
    <col min="16" max="16" width="3.6640625" style="44" customWidth="1"/>
    <col min="17" max="17" width="17.109375" style="44" customWidth="1"/>
    <col min="18" max="18" width="3.6640625" style="44" customWidth="1"/>
    <col min="19" max="19" width="17.109375" style="44" customWidth="1"/>
    <col min="20" max="20" width="3.6640625" style="44" customWidth="1"/>
    <col min="21" max="21" width="17.109375" style="44" customWidth="1"/>
    <col min="22" max="22" width="3.6640625" style="44" customWidth="1"/>
    <col min="23" max="23" width="17.109375" style="44" customWidth="1"/>
    <col min="24" max="24" width="3.6640625" style="44" customWidth="1"/>
    <col min="25" max="25" width="17.109375" style="44" customWidth="1"/>
    <col min="26" max="26" width="3.6640625" style="44" customWidth="1"/>
    <col min="27" max="27" width="17.109375" style="44" customWidth="1"/>
    <col min="28" max="28" width="3.6640625" style="44" customWidth="1"/>
    <col min="29" max="29" width="17.109375" style="44" customWidth="1"/>
    <col min="30" max="30" width="3.6640625" style="44" customWidth="1"/>
    <col min="31" max="31" width="17.109375" style="44" customWidth="1"/>
    <col min="32" max="32" width="3.6640625" style="44" customWidth="1"/>
    <col min="33" max="33" width="17.109375" style="44" customWidth="1"/>
    <col min="34" max="34" width="3.6640625" style="44" customWidth="1"/>
    <col min="35" max="35" width="17.109375" style="44" customWidth="1"/>
    <col min="36" max="36" width="3.6640625" style="44" customWidth="1"/>
    <col min="37" max="37" width="17.109375" style="44" customWidth="1"/>
    <col min="38" max="38" width="3.6640625" style="44" customWidth="1"/>
    <col min="39" max="39" width="17.109375" style="44" customWidth="1"/>
    <col min="40" max="40" width="3.6640625" style="44" customWidth="1"/>
    <col min="41" max="41" width="17.109375" style="44" customWidth="1"/>
    <col min="42" max="42" width="3.6640625" style="44" customWidth="1"/>
    <col min="43" max="43" width="17.109375" style="44" customWidth="1"/>
    <col min="44" max="44" width="3.6640625" style="44" customWidth="1"/>
    <col min="45" max="45" width="17.109375" style="44" customWidth="1"/>
    <col min="46" max="46" width="3.6640625" style="44" customWidth="1"/>
    <col min="47" max="47" width="17.109375" style="44" customWidth="1"/>
    <col min="48" max="48" width="3.6640625" style="44" customWidth="1"/>
    <col min="49" max="49" width="17.109375" style="44" customWidth="1"/>
    <col min="50" max="50" width="3.6640625" style="44" customWidth="1"/>
    <col min="51" max="51" width="17.109375" style="44" customWidth="1"/>
    <col min="52" max="52" width="3.6640625" style="44" customWidth="1"/>
    <col min="53" max="53" width="17.109375" style="44" customWidth="1"/>
    <col min="54" max="54" width="3.6640625" style="44" customWidth="1"/>
    <col min="55" max="55" width="17.109375" style="44" customWidth="1"/>
    <col min="56" max="56" width="3.6640625" style="44" customWidth="1"/>
    <col min="57" max="57" width="17.109375" style="44" customWidth="1"/>
    <col min="58" max="58" width="3.6640625" style="44" customWidth="1"/>
    <col min="59" max="16384" width="11.44140625" style="44"/>
  </cols>
  <sheetData>
    <row r="1" spans="2:58" ht="15" thickBot="1" x14ac:dyDescent="0.35"/>
    <row r="2" spans="2:58" ht="15" thickBot="1" x14ac:dyDescent="0.35">
      <c r="B2" s="157" t="s">
        <v>79</v>
      </c>
      <c r="C2" s="158"/>
      <c r="D2" s="159"/>
      <c r="E2" s="157" t="s">
        <v>128</v>
      </c>
      <c r="F2" s="159"/>
      <c r="G2" s="160" t="s">
        <v>147</v>
      </c>
      <c r="H2" s="162"/>
      <c r="I2" s="166" t="s">
        <v>148</v>
      </c>
      <c r="J2" s="168"/>
      <c r="K2" s="172" t="s">
        <v>149</v>
      </c>
      <c r="L2" s="174"/>
      <c r="M2" s="175" t="s">
        <v>150</v>
      </c>
      <c r="N2" s="177"/>
      <c r="O2" s="169" t="s">
        <v>151</v>
      </c>
      <c r="P2" s="171"/>
      <c r="Q2" s="178" t="s">
        <v>152</v>
      </c>
      <c r="R2" s="180"/>
      <c r="S2" s="181" t="s">
        <v>163</v>
      </c>
      <c r="T2" s="183"/>
      <c r="U2" s="190" t="s">
        <v>157</v>
      </c>
      <c r="V2" s="192"/>
      <c r="W2" s="193" t="s">
        <v>153</v>
      </c>
      <c r="X2" s="195"/>
      <c r="Y2" s="196" t="s">
        <v>154</v>
      </c>
      <c r="Z2" s="198"/>
      <c r="AA2" s="166" t="s">
        <v>155</v>
      </c>
      <c r="AB2" s="168"/>
      <c r="AC2" s="187" t="s">
        <v>161</v>
      </c>
      <c r="AD2" s="189"/>
      <c r="AE2" s="202" t="s">
        <v>156</v>
      </c>
      <c r="AF2" s="204"/>
      <c r="AG2" s="208" t="s">
        <v>162</v>
      </c>
      <c r="AH2" s="210"/>
      <c r="AI2" s="211" t="s">
        <v>6</v>
      </c>
      <c r="AJ2" s="213"/>
      <c r="AK2" s="190" t="s">
        <v>164</v>
      </c>
      <c r="AL2" s="192"/>
      <c r="AM2" s="223" t="s">
        <v>158</v>
      </c>
      <c r="AN2" s="225"/>
      <c r="AO2" s="193" t="s">
        <v>159</v>
      </c>
      <c r="AP2" s="195"/>
      <c r="AQ2" s="199" t="s">
        <v>160</v>
      </c>
      <c r="AR2" s="201"/>
      <c r="AS2" s="214" t="s">
        <v>165</v>
      </c>
      <c r="AT2" s="216"/>
      <c r="AU2" s="175" t="s">
        <v>166</v>
      </c>
      <c r="AV2" s="177"/>
      <c r="AW2" s="220" t="s">
        <v>167</v>
      </c>
      <c r="AX2" s="222"/>
      <c r="AY2" s="166" t="s">
        <v>168</v>
      </c>
      <c r="AZ2" s="168"/>
      <c r="BA2" s="160" t="s">
        <v>169</v>
      </c>
      <c r="BB2" s="162"/>
      <c r="BC2" s="163" t="s">
        <v>170</v>
      </c>
      <c r="BD2" s="164"/>
      <c r="BE2" s="157" t="s">
        <v>238</v>
      </c>
      <c r="BF2" s="158"/>
    </row>
    <row r="3" spans="2:58" x14ac:dyDescent="0.3">
      <c r="B3" s="37" t="s">
        <v>85</v>
      </c>
      <c r="C3" s="20" t="s">
        <v>101</v>
      </c>
      <c r="D3" s="14" t="s">
        <v>80</v>
      </c>
      <c r="E3" s="237"/>
      <c r="F3" s="238"/>
      <c r="G3" s="17" t="s">
        <v>39</v>
      </c>
      <c r="H3" s="9" t="str">
        <f>IF(ISBLANK($E3)=TRUE,"",IF($E3=G3,5,0))</f>
        <v/>
      </c>
      <c r="I3" s="17" t="s">
        <v>19</v>
      </c>
      <c r="J3" s="9" t="str">
        <f>IF(ISBLANK($E3)=TRUE,"",IF($E3=I3,5,0))</f>
        <v/>
      </c>
      <c r="K3" s="17" t="s">
        <v>39</v>
      </c>
      <c r="L3" s="9" t="str">
        <f>IF(ISBLANK($E3)=TRUE,"",IF($E3=K3,5,0))</f>
        <v/>
      </c>
      <c r="M3" s="17" t="s">
        <v>44</v>
      </c>
      <c r="N3" s="9" t="str">
        <f>IF(ISBLANK($E3)=TRUE,"",IF($E3=M3,5,0))</f>
        <v/>
      </c>
      <c r="O3" s="17" t="s">
        <v>39</v>
      </c>
      <c r="P3" s="9" t="str">
        <f>IF(ISBLANK($E3)=TRUE,"",IF($E3=O3,5,0))</f>
        <v/>
      </c>
      <c r="Q3" s="17" t="s">
        <v>19</v>
      </c>
      <c r="R3" s="9" t="str">
        <f>IF(ISBLANK($E3)=TRUE,"",IF($E3=Q3,5,0))</f>
        <v/>
      </c>
      <c r="S3" s="17" t="s">
        <v>19</v>
      </c>
      <c r="T3" s="9" t="str">
        <f>IF(ISBLANK($E3)=TRUE,"",IF($E3=S3,5,0))</f>
        <v/>
      </c>
      <c r="U3" s="17" t="s">
        <v>39</v>
      </c>
      <c r="V3" s="9" t="str">
        <f>IF(ISBLANK($E3)=TRUE,"",IF($E3=U3,5,0))</f>
        <v/>
      </c>
      <c r="W3" s="17" t="s">
        <v>39</v>
      </c>
      <c r="X3" s="9" t="str">
        <f>IF(ISBLANK($E3)=TRUE,"",IF($E3=W3,5,0))</f>
        <v/>
      </c>
      <c r="Y3" s="17" t="s">
        <v>44</v>
      </c>
      <c r="Z3" s="9" t="str">
        <f>IF(ISBLANK($E3)=TRUE,"",IF($E3=Y3,5,0))</f>
        <v/>
      </c>
      <c r="AA3" s="17" t="s">
        <v>44</v>
      </c>
      <c r="AB3" s="9" t="str">
        <f>IF(ISBLANK($E3)=TRUE,"",IF($E3=AA3,5,0))</f>
        <v/>
      </c>
      <c r="AC3" s="17" t="s">
        <v>39</v>
      </c>
      <c r="AD3" s="9" t="str">
        <f>IF(ISBLANK($E3)=TRUE,"",IF($E3=AC3,5,0))</f>
        <v/>
      </c>
      <c r="AE3" s="17" t="s">
        <v>39</v>
      </c>
      <c r="AF3" s="9" t="str">
        <f>IF(ISBLANK($E3)=TRUE,"",IF($E3=AE3,5,0))</f>
        <v/>
      </c>
      <c r="AG3" s="17" t="s">
        <v>39</v>
      </c>
      <c r="AH3" s="9" t="str">
        <f>IF(ISBLANK($E3)=TRUE,"",IF($E3=AG3,5,0))</f>
        <v/>
      </c>
      <c r="AI3" s="17" t="s">
        <v>44</v>
      </c>
      <c r="AJ3" s="9" t="str">
        <f>IF(ISBLANK($E3)=TRUE,"",IF($E3=AI3,5,0))</f>
        <v/>
      </c>
      <c r="AK3" s="17" t="s">
        <v>44</v>
      </c>
      <c r="AL3" s="9" t="str">
        <f>IF(ISBLANK($E3)=TRUE,"",IF($E3=AK3,5,0))</f>
        <v/>
      </c>
      <c r="AM3" s="17" t="s">
        <v>39</v>
      </c>
      <c r="AN3" s="9" t="str">
        <f>IF(ISBLANK($E3)=TRUE,"",IF($E3=AM3,5,0))</f>
        <v/>
      </c>
      <c r="AO3" s="17" t="s">
        <v>47</v>
      </c>
      <c r="AP3" s="9" t="str">
        <f>IF(ISBLANK($E3)=TRUE,"",IF($E3=AO3,5,0))</f>
        <v/>
      </c>
      <c r="AQ3" s="17" t="s">
        <v>39</v>
      </c>
      <c r="AR3" s="9" t="str">
        <f>IF(ISBLANK($E3)=TRUE,"",IF($E3=AQ3,5,0))</f>
        <v/>
      </c>
      <c r="AS3" s="17" t="s">
        <v>44</v>
      </c>
      <c r="AT3" s="9" t="str">
        <f>IF(ISBLANK($E3)=TRUE,"",IF($E3=AS3,5,0))</f>
        <v/>
      </c>
      <c r="AU3" s="17" t="s">
        <v>44</v>
      </c>
      <c r="AV3" s="9" t="str">
        <f>IF(ISBLANK($E3)=TRUE,"",IF($E3=AU3,5,0))</f>
        <v/>
      </c>
      <c r="AW3" s="17" t="s">
        <v>44</v>
      </c>
      <c r="AX3" s="9" t="str">
        <f>IF(ISBLANK($E3)=TRUE,"",IF($E3=AW3,5,0))</f>
        <v/>
      </c>
      <c r="AY3" s="17" t="s">
        <v>44</v>
      </c>
      <c r="AZ3" s="9" t="str">
        <f>IF(ISBLANK($E3)=TRUE,"",IF($E3=AY3,5,0))</f>
        <v/>
      </c>
      <c r="BA3" s="17" t="s">
        <v>39</v>
      </c>
      <c r="BB3" s="9" t="str">
        <f>IF(ISBLANK($E3)=TRUE,"",IF($E3=BA3,5,0))</f>
        <v/>
      </c>
      <c r="BC3" s="17" t="s">
        <v>27</v>
      </c>
      <c r="BD3" s="9" t="str">
        <f>IF(ISBLANK($E3)=TRUE,"",IF($E3=BC3,5,0))</f>
        <v/>
      </c>
      <c r="BE3" s="17" t="s">
        <v>39</v>
      </c>
      <c r="BF3" s="9" t="str">
        <f>IF(ISBLANK($E3)=TRUE,"",IF($E3=BE3,5,0))</f>
        <v/>
      </c>
    </row>
    <row r="4" spans="2:58" x14ac:dyDescent="0.3">
      <c r="B4" s="38" t="s">
        <v>86</v>
      </c>
      <c r="C4" s="21" t="s">
        <v>103</v>
      </c>
      <c r="D4" s="15" t="s">
        <v>80</v>
      </c>
      <c r="E4" s="235"/>
      <c r="F4" s="236"/>
      <c r="G4" s="18" t="s">
        <v>116</v>
      </c>
      <c r="H4" s="9" t="str">
        <f>IF(ISBLANK($E4)=TRUE,"",IF($E4=G4,5,0))</f>
        <v/>
      </c>
      <c r="I4" s="18" t="s">
        <v>188</v>
      </c>
      <c r="J4" s="9" t="str">
        <f>IF(ISBLANK($E4)=TRUE,"",IF($E4=I4,5,0))</f>
        <v/>
      </c>
      <c r="K4" s="18" t="s">
        <v>116</v>
      </c>
      <c r="L4" s="9" t="str">
        <f>IF(ISBLANK($E4)=TRUE,"",IF($E4=K4,5,0))</f>
        <v/>
      </c>
      <c r="M4" s="18" t="s">
        <v>217</v>
      </c>
      <c r="N4" s="9" t="str">
        <f>IF(ISBLANK($E4)=TRUE,"",IF($E4=M4,5,0))</f>
        <v/>
      </c>
      <c r="O4" s="18" t="s">
        <v>188</v>
      </c>
      <c r="P4" s="9" t="str">
        <f>IF(ISBLANK($E4)=TRUE,"",IF($E4=O4,5,0))</f>
        <v/>
      </c>
      <c r="Q4" s="18" t="s">
        <v>222</v>
      </c>
      <c r="R4" s="9" t="str">
        <f>IF(ISBLANK($E4)=TRUE,"",IF($E4=Q4,5,0))</f>
        <v/>
      </c>
      <c r="S4" s="18" t="s">
        <v>171</v>
      </c>
      <c r="T4" s="9" t="str">
        <f>IF(ISBLANK($E4)=TRUE,"",IF($E4=S4,5,0))</f>
        <v/>
      </c>
      <c r="U4" s="18" t="s">
        <v>116</v>
      </c>
      <c r="V4" s="9" t="str">
        <f>IF(ISBLANK($E4)=TRUE,"",IF($E4=U4,5,0))</f>
        <v/>
      </c>
      <c r="W4" s="18" t="s">
        <v>188</v>
      </c>
      <c r="X4" s="9" t="str">
        <f>IF(ISBLANK($E4)=TRUE,"",IF($E4=W4,5,0))</f>
        <v/>
      </c>
      <c r="Y4" s="18" t="s">
        <v>188</v>
      </c>
      <c r="Z4" s="9" t="str">
        <f>IF(ISBLANK($E4)=TRUE,"",IF($E4=Y4,5,0))</f>
        <v/>
      </c>
      <c r="AA4" s="18" t="s">
        <v>188</v>
      </c>
      <c r="AB4" s="9" t="str">
        <f>IF(ISBLANK($E4)=TRUE,"",IF($E4=AA4,5,0))</f>
        <v/>
      </c>
      <c r="AC4" s="18" t="s">
        <v>116</v>
      </c>
      <c r="AD4" s="9" t="str">
        <f>IF(ISBLANK($E4)=TRUE,"",IF($E4=AC4,5,0))</f>
        <v/>
      </c>
      <c r="AE4" s="18" t="s">
        <v>116</v>
      </c>
      <c r="AF4" s="9" t="str">
        <f>IF(ISBLANK($E4)=TRUE,"",IF($E4=AE4,5,0))</f>
        <v/>
      </c>
      <c r="AG4" s="18" t="s">
        <v>188</v>
      </c>
      <c r="AH4" s="9" t="str">
        <f>IF(ISBLANK($E4)=TRUE,"",IF($E4=AG4,5,0))</f>
        <v/>
      </c>
      <c r="AI4" s="18" t="s">
        <v>188</v>
      </c>
      <c r="AJ4" s="9" t="str">
        <f>IF(ISBLANK($E4)=TRUE,"",IF($E4=AI4,5,0))</f>
        <v/>
      </c>
      <c r="AK4" s="18" t="s">
        <v>188</v>
      </c>
      <c r="AL4" s="9" t="str">
        <f>IF(ISBLANK($E4)=TRUE,"",IF($E4=AK4,5,0))</f>
        <v/>
      </c>
      <c r="AM4" s="18" t="s">
        <v>188</v>
      </c>
      <c r="AN4" s="9" t="str">
        <f>IF(ISBLANK($E4)=TRUE,"",IF($E4=AM4,5,0))</f>
        <v/>
      </c>
      <c r="AO4" s="18" t="s">
        <v>193</v>
      </c>
      <c r="AP4" s="9" t="str">
        <f>IF(ISBLANK($E4)=TRUE,"",IF($E4=AO4,5,0))</f>
        <v/>
      </c>
      <c r="AQ4" s="18" t="s">
        <v>205</v>
      </c>
      <c r="AR4" s="9" t="str">
        <f>IF(ISBLANK($E4)=TRUE,"",IF($E4=AQ4,5,0))</f>
        <v/>
      </c>
      <c r="AS4" s="18" t="s">
        <v>223</v>
      </c>
      <c r="AT4" s="9" t="str">
        <f>IF(ISBLANK($E4)=TRUE,"",IF($E4=AS4,5,0))</f>
        <v/>
      </c>
      <c r="AU4" s="18" t="s">
        <v>188</v>
      </c>
      <c r="AV4" s="9" t="str">
        <f>IF(ISBLANK($E4)=TRUE,"",IF($E4=AU4,5,0))</f>
        <v/>
      </c>
      <c r="AW4" s="18" t="s">
        <v>188</v>
      </c>
      <c r="AX4" s="9" t="str">
        <f>IF(ISBLANK($E4)=TRUE,"",IF($E4=AW4,5,0))</f>
        <v/>
      </c>
      <c r="AY4" s="18" t="s">
        <v>224</v>
      </c>
      <c r="AZ4" s="9" t="str">
        <f>IF(ISBLANK($E4)=TRUE,"",IF($E4=AY4,5,0))</f>
        <v/>
      </c>
      <c r="BA4" s="18" t="s">
        <v>116</v>
      </c>
      <c r="BB4" s="9" t="str">
        <f>IF(ISBLANK($E4)=TRUE,"",IF($E4=BA4,5,0))</f>
        <v/>
      </c>
      <c r="BC4" s="18" t="s">
        <v>217</v>
      </c>
      <c r="BD4" s="9" t="str">
        <f>IF(ISBLANK($E4)=TRUE,"",IF($E4=BC4,5,0))</f>
        <v/>
      </c>
      <c r="BE4" s="18" t="s">
        <v>239</v>
      </c>
      <c r="BF4" s="9" t="str">
        <f>IF(ISBLANK($E4)=TRUE,"",IF($E4=BE4,5,0))</f>
        <v/>
      </c>
    </row>
    <row r="5" spans="2:58" x14ac:dyDescent="0.3">
      <c r="B5" s="38" t="s">
        <v>87</v>
      </c>
      <c r="C5" s="21" t="s">
        <v>102</v>
      </c>
      <c r="D5" s="15" t="s">
        <v>80</v>
      </c>
      <c r="E5" s="235"/>
      <c r="F5" s="236"/>
      <c r="G5" s="18" t="s">
        <v>200</v>
      </c>
      <c r="H5" s="9" t="str">
        <f>IF(ISBLANK($E5)=TRUE,"",IF($E5=G5,5,0))</f>
        <v/>
      </c>
      <c r="I5" s="18" t="s">
        <v>188</v>
      </c>
      <c r="J5" s="9" t="str">
        <f>IF(ISBLANK($E5)=TRUE,"",IF($E5=I5,5,0))</f>
        <v/>
      </c>
      <c r="K5" s="18" t="s">
        <v>181</v>
      </c>
      <c r="L5" s="9" t="str">
        <f>IF(ISBLANK($E5)=TRUE,"",IF($E5=K5,5,0))</f>
        <v/>
      </c>
      <c r="M5" s="18" t="s">
        <v>200</v>
      </c>
      <c r="N5" s="9" t="str">
        <f>IF(ISBLANK($E5)=TRUE,"",IF($E5=M5,5,0))</f>
        <v/>
      </c>
      <c r="O5" s="18" t="s">
        <v>200</v>
      </c>
      <c r="P5" s="9" t="str">
        <f>IF(ISBLANK($E5)=TRUE,"",IF($E5=O5,5,0))</f>
        <v/>
      </c>
      <c r="Q5" s="18" t="s">
        <v>181</v>
      </c>
      <c r="R5" s="9" t="str">
        <f>IF(ISBLANK($E5)=TRUE,"",IF($E5=Q5,5,0))</f>
        <v/>
      </c>
      <c r="S5" s="18" t="s">
        <v>171</v>
      </c>
      <c r="T5" s="9" t="str">
        <f>IF(ISBLANK($E5)=TRUE,"",IF($E5=S5,5,0))</f>
        <v/>
      </c>
      <c r="U5" s="18" t="s">
        <v>188</v>
      </c>
      <c r="V5" s="9" t="str">
        <f>IF(ISBLANK($E5)=TRUE,"",IF($E5=U5,5,0))</f>
        <v/>
      </c>
      <c r="W5" s="18" t="s">
        <v>181</v>
      </c>
      <c r="X5" s="9" t="str">
        <f>IF(ISBLANK($E5)=TRUE,"",IF($E5=W5,5,0))</f>
        <v/>
      </c>
      <c r="Y5" s="18" t="s">
        <v>223</v>
      </c>
      <c r="Z5" s="9" t="str">
        <f>IF(ISBLANK($E5)=TRUE,"",IF($E5=Y5,5,0))</f>
        <v/>
      </c>
      <c r="AA5" s="18" t="s">
        <v>200</v>
      </c>
      <c r="AB5" s="9" t="str">
        <f>IF(ISBLANK($E5)=TRUE,"",IF($E5=AA5,5,0))</f>
        <v/>
      </c>
      <c r="AC5" s="18" t="s">
        <v>188</v>
      </c>
      <c r="AD5" s="9" t="str">
        <f>IF(ISBLANK($E5)=TRUE,"",IF($E5=AC5,5,0))</f>
        <v/>
      </c>
      <c r="AE5" s="18" t="s">
        <v>188</v>
      </c>
      <c r="AF5" s="9" t="str">
        <f>IF(ISBLANK($E5)=TRUE,"",IF($E5=AE5,5,0))</f>
        <v/>
      </c>
      <c r="AG5" s="18" t="s">
        <v>188</v>
      </c>
      <c r="AH5" s="9" t="str">
        <f>IF(ISBLANK($E5)=TRUE,"",IF($E5=AG5,5,0))</f>
        <v/>
      </c>
      <c r="AI5" s="18" t="s">
        <v>188</v>
      </c>
      <c r="AJ5" s="9" t="str">
        <f>IF(ISBLANK($E5)=TRUE,"",IF($E5=AI5,5,0))</f>
        <v/>
      </c>
      <c r="AK5" s="18" t="s">
        <v>200</v>
      </c>
      <c r="AL5" s="9" t="str">
        <f>IF(ISBLANK($E5)=TRUE,"",IF($E5=AK5,5,0))</f>
        <v/>
      </c>
      <c r="AM5" s="18" t="s">
        <v>188</v>
      </c>
      <c r="AN5" s="9" t="str">
        <f>IF(ISBLANK($E5)=TRUE,"",IF($E5=AM5,5,0))</f>
        <v/>
      </c>
      <c r="AO5" s="18" t="s">
        <v>181</v>
      </c>
      <c r="AP5" s="9" t="str">
        <f>IF(ISBLANK($E5)=TRUE,"",IF($E5=AO5,5,0))</f>
        <v/>
      </c>
      <c r="AQ5" s="18" t="s">
        <v>188</v>
      </c>
      <c r="AR5" s="9" t="str">
        <f>IF(ISBLANK($E5)=TRUE,"",IF($E5=AQ5,5,0))</f>
        <v/>
      </c>
      <c r="AS5" s="18" t="s">
        <v>188</v>
      </c>
      <c r="AT5" s="9" t="str">
        <f>IF(ISBLANK($E5)=TRUE,"",IF($E5=AS5,5,0))</f>
        <v/>
      </c>
      <c r="AU5" s="18" t="s">
        <v>188</v>
      </c>
      <c r="AV5" s="9" t="str">
        <f>IF(ISBLANK($E5)=TRUE,"",IF($E5=AU5,5,0))</f>
        <v/>
      </c>
      <c r="AW5" s="18" t="s">
        <v>181</v>
      </c>
      <c r="AX5" s="9" t="str">
        <f>IF(ISBLANK($E5)=TRUE,"",IF($E5=AW5,5,0))</f>
        <v/>
      </c>
      <c r="AY5" s="18" t="s">
        <v>181</v>
      </c>
      <c r="AZ5" s="9" t="str">
        <f>IF(ISBLANK($E5)=TRUE,"",IF($E5=AY5,5,0))</f>
        <v/>
      </c>
      <c r="BA5" s="18" t="s">
        <v>220</v>
      </c>
      <c r="BB5" s="9" t="str">
        <f>IF(ISBLANK($E5)=TRUE,"",IF($E5=BA5,5,0))</f>
        <v/>
      </c>
      <c r="BC5" s="18" t="s">
        <v>188</v>
      </c>
      <c r="BD5" s="9" t="str">
        <f>IF(ISBLANK($E5)=TRUE,"",IF($E5=BC5,5,0))</f>
        <v/>
      </c>
      <c r="BE5" s="18" t="s">
        <v>240</v>
      </c>
      <c r="BF5" s="9" t="str">
        <f>IF(ISBLANK($E5)=TRUE,"",IF($E5=BE5,5,0))</f>
        <v/>
      </c>
    </row>
    <row r="6" spans="2:58" x14ac:dyDescent="0.3">
      <c r="B6" s="38" t="s">
        <v>88</v>
      </c>
      <c r="C6" s="21" t="s">
        <v>104</v>
      </c>
      <c r="D6" s="15" t="s">
        <v>81</v>
      </c>
      <c r="E6" s="235"/>
      <c r="F6" s="236"/>
      <c r="G6" s="18" t="s">
        <v>116</v>
      </c>
      <c r="H6" s="9" t="str">
        <f>IF(ISBLANK($E6)=TRUE,"",IF($E6=G6,3,0))</f>
        <v/>
      </c>
      <c r="I6" s="18" t="s">
        <v>116</v>
      </c>
      <c r="J6" s="9" t="str">
        <f>IF(ISBLANK($E6)=TRUE,"",IF($E6=I6,3,0))</f>
        <v/>
      </c>
      <c r="K6" s="18" t="s">
        <v>116</v>
      </c>
      <c r="L6" s="9" t="str">
        <f>IF(ISBLANK($E6)=TRUE,"",IF($E6=K6,3,0))</f>
        <v/>
      </c>
      <c r="M6" s="18" t="s">
        <v>116</v>
      </c>
      <c r="N6" s="9" t="str">
        <f>IF(ISBLANK($E6)=TRUE,"",IF($E6=M6,3,0))</f>
        <v/>
      </c>
      <c r="O6" s="18" t="s">
        <v>182</v>
      </c>
      <c r="P6" s="9" t="str">
        <f>IF(ISBLANK($E6)=TRUE,"",IF($E6=O6,3,0))</f>
        <v/>
      </c>
      <c r="Q6" s="18" t="s">
        <v>116</v>
      </c>
      <c r="R6" s="9" t="str">
        <f>IF(ISBLANK($E6)=TRUE,"",IF($E6=Q6,3,0))</f>
        <v/>
      </c>
      <c r="S6" s="18" t="s">
        <v>116</v>
      </c>
      <c r="T6" s="9" t="str">
        <f>IF(ISBLANK($E6)=TRUE,"",IF($E6=S6,3,0))</f>
        <v/>
      </c>
      <c r="U6" s="18" t="s">
        <v>116</v>
      </c>
      <c r="V6" s="9" t="str">
        <f>IF(ISBLANK($E6)=TRUE,"",IF($E6=U6,3,0))</f>
        <v/>
      </c>
      <c r="W6" s="18" t="s">
        <v>116</v>
      </c>
      <c r="X6" s="9" t="str">
        <f>IF(ISBLANK($E6)=TRUE,"",IF($E6=W6,3,0))</f>
        <v/>
      </c>
      <c r="Y6" s="18" t="s">
        <v>116</v>
      </c>
      <c r="Z6" s="9" t="str">
        <f>IF(ISBLANK($E6)=TRUE,"",IF($E6=Y6,3,0))</f>
        <v/>
      </c>
      <c r="AA6" s="18" t="s">
        <v>116</v>
      </c>
      <c r="AB6" s="9" t="str">
        <f>IF(ISBLANK($E6)=TRUE,"",IF($E6=AA6,3,0))</f>
        <v/>
      </c>
      <c r="AC6" s="18" t="s">
        <v>116</v>
      </c>
      <c r="AD6" s="9" t="str">
        <f>IF(ISBLANK($E6)=TRUE,"",IF($E6=AC6,3,0))</f>
        <v/>
      </c>
      <c r="AE6" s="18" t="s">
        <v>116</v>
      </c>
      <c r="AF6" s="9" t="str">
        <f>IF(ISBLANK($E6)=TRUE,"",IF($E6=AE6,3,0))</f>
        <v/>
      </c>
      <c r="AG6" s="18" t="s">
        <v>116</v>
      </c>
      <c r="AH6" s="9" t="str">
        <f>IF(ISBLANK($E6)=TRUE,"",IF($E6=AG6,3,0))</f>
        <v/>
      </c>
      <c r="AI6" s="18" t="s">
        <v>116</v>
      </c>
      <c r="AJ6" s="9" t="str">
        <f>IF(ISBLANK($E6)=TRUE,"",IF($E6=AI6,3,0))</f>
        <v/>
      </c>
      <c r="AK6" s="18" t="s">
        <v>116</v>
      </c>
      <c r="AL6" s="9" t="str">
        <f>IF(ISBLANK($E6)=TRUE,"",IF($E6=AK6,3,0))</f>
        <v/>
      </c>
      <c r="AM6" s="18" t="s">
        <v>116</v>
      </c>
      <c r="AN6" s="9" t="str">
        <f>IF(ISBLANK($E6)=TRUE,"",IF($E6=AM6,3,0))</f>
        <v/>
      </c>
      <c r="AO6" s="18" t="s">
        <v>116</v>
      </c>
      <c r="AP6" s="9" t="str">
        <f>IF(ISBLANK($E6)=TRUE,"",IF($E6=AO6,3,0))</f>
        <v/>
      </c>
      <c r="AQ6" s="18" t="s">
        <v>116</v>
      </c>
      <c r="AR6" s="9" t="str">
        <f>IF(ISBLANK($E6)=TRUE,"",IF($E6=AQ6,3,0))</f>
        <v/>
      </c>
      <c r="AS6" s="18" t="s">
        <v>116</v>
      </c>
      <c r="AT6" s="9" t="str">
        <f>IF(ISBLANK($E6)=TRUE,"",IF($E6=AS6,3,0))</f>
        <v/>
      </c>
      <c r="AU6" s="18" t="s">
        <v>116</v>
      </c>
      <c r="AV6" s="9" t="str">
        <f>IF(ISBLANK($E6)=TRUE,"",IF($E6=AU6,3,0))</f>
        <v/>
      </c>
      <c r="AW6" s="18" t="s">
        <v>116</v>
      </c>
      <c r="AX6" s="9" t="str">
        <f>IF(ISBLANK($E6)=TRUE,"",IF($E6=AW6,3,0))</f>
        <v/>
      </c>
      <c r="AY6" s="18" t="s">
        <v>116</v>
      </c>
      <c r="AZ6" s="9" t="str">
        <f>IF(ISBLANK($E6)=TRUE,"",IF($E6=AY6,3,0))</f>
        <v/>
      </c>
      <c r="BA6" s="18" t="s">
        <v>116</v>
      </c>
      <c r="BB6" s="9" t="str">
        <f>IF(ISBLANK($E6)=TRUE,"",IF($E6=BA6,3,0))</f>
        <v/>
      </c>
      <c r="BC6" s="18" t="s">
        <v>218</v>
      </c>
      <c r="BD6" s="9" t="str">
        <f>IF(ISBLANK($E6)=TRUE,"",IF($E6=BC6,3,0))</f>
        <v/>
      </c>
      <c r="BE6" s="18" t="s">
        <v>241</v>
      </c>
      <c r="BF6" s="9" t="str">
        <f>IF(ISBLANK($E6)=TRUE,"",IF($E6=BE6,3,0))</f>
        <v/>
      </c>
    </row>
    <row r="7" spans="2:58" ht="15" thickBot="1" x14ac:dyDescent="0.35">
      <c r="B7" s="38" t="s">
        <v>89</v>
      </c>
      <c r="C7" s="21" t="s">
        <v>105</v>
      </c>
      <c r="D7" s="15" t="s">
        <v>82</v>
      </c>
      <c r="E7" s="235"/>
      <c r="F7" s="236"/>
      <c r="G7" s="40">
        <v>293</v>
      </c>
      <c r="H7" s="9" t="str">
        <f>IF(ISBLANK($E7)=TRUE,"",IF($E7=G7,2,0))</f>
        <v/>
      </c>
      <c r="I7" s="40">
        <v>300</v>
      </c>
      <c r="J7" s="9" t="str">
        <f>IF(ISBLANK($E7)=TRUE,"",IF($E7=I7,2,0))</f>
        <v/>
      </c>
      <c r="K7" s="40">
        <v>254</v>
      </c>
      <c r="L7" s="9" t="str">
        <f>IF(ISBLANK($E7)=TRUE,"",IF($E7=K7,2,0))</f>
        <v/>
      </c>
      <c r="M7" s="40">
        <v>300</v>
      </c>
      <c r="N7" s="9" t="str">
        <f>IF(ISBLANK($E7)=TRUE,"",IF($E7=M7,2,0))</f>
        <v/>
      </c>
      <c r="O7" s="40">
        <v>240</v>
      </c>
      <c r="P7" s="9" t="str">
        <f>IF(ISBLANK($E7)=TRUE,"",IF($E7=O7,2,0))</f>
        <v/>
      </c>
      <c r="Q7" s="40">
        <v>295</v>
      </c>
      <c r="R7" s="9" t="str">
        <f>IF(ISBLANK($E7)=TRUE,"",IF($E7=Q7,2,0))</f>
        <v/>
      </c>
      <c r="S7" s="40">
        <v>276</v>
      </c>
      <c r="T7" s="9" t="str">
        <f>IF(ISBLANK($E7)=TRUE,"",IF($E7=S7,2,0))</f>
        <v/>
      </c>
      <c r="U7" s="40">
        <v>280</v>
      </c>
      <c r="V7" s="9" t="str">
        <f>IF(ISBLANK($E7)=TRUE,"",IF($E7=U7,2,0))</f>
        <v/>
      </c>
      <c r="W7" s="40">
        <v>210</v>
      </c>
      <c r="X7" s="9" t="str">
        <f>IF(ISBLANK($E7)=TRUE,"",IF($E7=W7,2,0))</f>
        <v/>
      </c>
      <c r="Y7" s="40">
        <v>193</v>
      </c>
      <c r="Z7" s="9" t="str">
        <f>IF(ISBLANK($E7)=TRUE,"",IF($E7=Y7,2,0))</f>
        <v/>
      </c>
      <c r="AA7" s="40">
        <v>230</v>
      </c>
      <c r="AB7" s="9" t="str">
        <f>IF(ISBLANK($E7)=TRUE,"",IF($E7=AA7,2,0))</f>
        <v/>
      </c>
      <c r="AC7" s="40">
        <v>280</v>
      </c>
      <c r="AD7" s="9" t="str">
        <f>IF(ISBLANK($E7)=TRUE,"",IF($E7=AC7,2,0))</f>
        <v/>
      </c>
      <c r="AE7" s="40">
        <v>231</v>
      </c>
      <c r="AF7" s="9" t="str">
        <f>IF(ISBLANK($E7)=TRUE,"",IF($E7=AE7,2,0))</f>
        <v/>
      </c>
      <c r="AG7" s="40">
        <v>292</v>
      </c>
      <c r="AH7" s="9" t="str">
        <f>IF(ISBLANK($E7)=TRUE,"",IF($E7=AG7,2,0))</f>
        <v/>
      </c>
      <c r="AI7" s="40" t="s">
        <v>189</v>
      </c>
      <c r="AJ7" s="9" t="str">
        <f>IF(ISBLANK($E7)=TRUE,"",IF($E7=AI7,2,0))</f>
        <v/>
      </c>
      <c r="AK7" s="40">
        <v>335</v>
      </c>
      <c r="AL7" s="9" t="str">
        <f>IF(ISBLANK($E7)=TRUE,"",IF($E7=AK7,2,0))</f>
        <v/>
      </c>
      <c r="AM7" s="40">
        <v>274</v>
      </c>
      <c r="AN7" s="9" t="str">
        <f>IF(ISBLANK($E7)=TRUE,"",IF($E7=AM7,2,0))</f>
        <v/>
      </c>
      <c r="AO7" s="40">
        <v>280</v>
      </c>
      <c r="AP7" s="9" t="str">
        <f>IF(ISBLANK($E7)=TRUE,"",IF($E7=AO7,2,0))</f>
        <v/>
      </c>
      <c r="AQ7" s="40" t="s">
        <v>206</v>
      </c>
      <c r="AR7" s="9" t="str">
        <f>IF(ISBLANK($E7)=TRUE,"",IF($E7=AQ7,2,0))</f>
        <v/>
      </c>
      <c r="AS7" s="40">
        <v>265</v>
      </c>
      <c r="AT7" s="9" t="str">
        <f>IF(ISBLANK($E7)=TRUE,"",IF($E7=AS7,2,0))</f>
        <v/>
      </c>
      <c r="AU7" s="40">
        <v>295</v>
      </c>
      <c r="AV7" s="9" t="str">
        <f>IF(ISBLANK($E7)=TRUE,"",IF($E7=AU7,2,0))</f>
        <v/>
      </c>
      <c r="AW7" s="40" t="s">
        <v>198</v>
      </c>
      <c r="AX7" s="9" t="str">
        <f>IF(ISBLANK($E7)=TRUE,"",IF($E7=AW7,2,0))</f>
        <v/>
      </c>
      <c r="AY7" s="40">
        <v>335</v>
      </c>
      <c r="AZ7" s="9" t="str">
        <f>IF(ISBLANK($E7)=TRUE,"",IF($E7=AY7,2,0))</f>
        <v/>
      </c>
      <c r="BA7" s="40">
        <v>225</v>
      </c>
      <c r="BB7" s="9" t="str">
        <f>IF(ISBLANK($E7)=TRUE,"",IF($E7=BA7,2,0))</f>
        <v/>
      </c>
      <c r="BC7" s="40">
        <v>210</v>
      </c>
      <c r="BD7" s="9" t="str">
        <f>IF(ISBLANK($E7)=TRUE,"",IF($E7=BC7,2,0))</f>
        <v/>
      </c>
      <c r="BE7" s="40">
        <v>178</v>
      </c>
      <c r="BF7" s="9" t="str">
        <f>IF(ISBLANK($E7)=TRUE,"",IF($E7=BE7,2,0))</f>
        <v/>
      </c>
    </row>
    <row r="8" spans="2:58" x14ac:dyDescent="0.3">
      <c r="B8" s="38"/>
      <c r="C8" s="21"/>
      <c r="D8" s="15"/>
      <c r="E8" s="58" t="s">
        <v>144</v>
      </c>
      <c r="F8" s="47">
        <f>SUM(Gruppespill!G3:G85,Gruppespill!I3:I85,Utslagsrunder!G3:G39,Utslagsrunder!I3:I39)</f>
        <v>12</v>
      </c>
      <c r="G8" s="40"/>
      <c r="H8" s="9"/>
      <c r="I8" s="40"/>
      <c r="J8" s="9"/>
      <c r="K8" s="40"/>
      <c r="L8" s="9"/>
      <c r="M8" s="40"/>
      <c r="N8" s="9"/>
      <c r="O8" s="40"/>
      <c r="P8" s="9"/>
      <c r="Q8" s="40"/>
      <c r="R8" s="9"/>
      <c r="S8" s="40"/>
      <c r="T8" s="9"/>
      <c r="U8" s="40"/>
      <c r="V8" s="9"/>
      <c r="W8" s="40"/>
      <c r="X8" s="9"/>
      <c r="Y8" s="40"/>
      <c r="Z8" s="9"/>
      <c r="AA8" s="40"/>
      <c r="AB8" s="9"/>
      <c r="AC8" s="40"/>
      <c r="AD8" s="9"/>
      <c r="AE8" s="40"/>
      <c r="AF8" s="9"/>
      <c r="AG8" s="40"/>
      <c r="AH8" s="9"/>
      <c r="AI8" s="40"/>
      <c r="AJ8" s="9"/>
      <c r="AK8" s="40"/>
      <c r="AL8" s="9"/>
      <c r="AM8" s="40"/>
      <c r="AN8" s="9"/>
      <c r="AO8" s="40"/>
      <c r="AP8" s="9"/>
      <c r="AQ8" s="40"/>
      <c r="AR8" s="9"/>
      <c r="AS8" s="40"/>
      <c r="AT8" s="9"/>
      <c r="AU8" s="40"/>
      <c r="AV8" s="9"/>
      <c r="AW8" s="40"/>
      <c r="AX8" s="9"/>
      <c r="AY8" s="40"/>
      <c r="AZ8" s="9"/>
      <c r="BA8" s="40"/>
      <c r="BB8" s="9"/>
      <c r="BC8" s="40"/>
      <c r="BD8" s="9"/>
      <c r="BE8" s="40"/>
      <c r="BF8" s="9"/>
    </row>
    <row r="9" spans="2:58" ht="15" thickBot="1" x14ac:dyDescent="0.35">
      <c r="B9" s="38"/>
      <c r="C9" s="21"/>
      <c r="D9" s="15"/>
      <c r="E9" s="59" t="s">
        <v>145</v>
      </c>
      <c r="F9" s="50">
        <f>IF(ISBLANK(Gruppespill!G3),"",(F8/(COUNT(Gruppespill!G3:G85,Utslagsrunder!G3:G39)))*104)</f>
        <v>312</v>
      </c>
      <c r="G9" s="40"/>
      <c r="H9" s="9"/>
      <c r="I9" s="40"/>
      <c r="J9" s="9"/>
      <c r="K9" s="40"/>
      <c r="L9" s="9"/>
      <c r="M9" s="40"/>
      <c r="N9" s="9"/>
      <c r="O9" s="40"/>
      <c r="P9" s="9"/>
      <c r="Q9" s="40"/>
      <c r="R9" s="9"/>
      <c r="S9" s="40"/>
      <c r="T9" s="9"/>
      <c r="U9" s="40"/>
      <c r="V9" s="9"/>
      <c r="W9" s="40"/>
      <c r="X9" s="9"/>
      <c r="Y9" s="40"/>
      <c r="Z9" s="9"/>
      <c r="AA9" s="40"/>
      <c r="AB9" s="9"/>
      <c r="AC9" s="40"/>
      <c r="AD9" s="9"/>
      <c r="AE9" s="40"/>
      <c r="AF9" s="9"/>
      <c r="AG9" s="40"/>
      <c r="AH9" s="9"/>
      <c r="AI9" s="40"/>
      <c r="AJ9" s="9"/>
      <c r="AK9" s="40"/>
      <c r="AL9" s="9"/>
      <c r="AM9" s="40"/>
      <c r="AN9" s="9"/>
      <c r="AO9" s="40"/>
      <c r="AP9" s="9"/>
      <c r="AQ9" s="40"/>
      <c r="AR9" s="9"/>
      <c r="AS9" s="40"/>
      <c r="AT9" s="9"/>
      <c r="AU9" s="40"/>
      <c r="AV9" s="9"/>
      <c r="AW9" s="40"/>
      <c r="AX9" s="9"/>
      <c r="AY9" s="40"/>
      <c r="AZ9" s="9"/>
      <c r="BA9" s="40"/>
      <c r="BB9" s="9"/>
      <c r="BC9" s="40"/>
      <c r="BD9" s="9"/>
      <c r="BE9" s="40"/>
      <c r="BF9" s="9"/>
    </row>
    <row r="10" spans="2:58" x14ac:dyDescent="0.3">
      <c r="B10" s="38" t="s">
        <v>90</v>
      </c>
      <c r="C10" s="21" t="s">
        <v>106</v>
      </c>
      <c r="D10" s="15" t="s">
        <v>82</v>
      </c>
      <c r="E10" s="241"/>
      <c r="F10" s="236"/>
      <c r="G10" s="23">
        <v>5.7870370370370378E-4</v>
      </c>
      <c r="H10" s="9" t="str">
        <f>IF(ISBLANK($E10),"",IF(ABS($E10-G10)&lt;TIME(0,0,16),2,0))</f>
        <v/>
      </c>
      <c r="I10" s="23">
        <v>4.6296296296296298E-4</v>
      </c>
      <c r="J10" s="9" t="str">
        <f>IF(ISBLANK($E10),"",IF(ABS($E10-I10)&lt;TIME(0,0,16),2,0))</f>
        <v/>
      </c>
      <c r="K10" s="23">
        <v>1.1574074074074069E-3</v>
      </c>
      <c r="L10" s="9" t="str">
        <f>IF(ISBLANK($E10),"",IF(ABS($E10-K10)&lt;TIME(0,0,16),2,0))</f>
        <v/>
      </c>
      <c r="M10" s="23">
        <v>1.3310185185185181E-3</v>
      </c>
      <c r="N10" s="9" t="str">
        <f>IF(ISBLANK($E10),"",IF(ABS($E10-M10)&lt;TIME(0,0,16),2,0))</f>
        <v/>
      </c>
      <c r="O10" s="23">
        <v>1.0416666666666671E-3</v>
      </c>
      <c r="P10" s="9" t="str">
        <f>IF(ISBLANK($E10),"",IF(ABS($E10-O10)&lt;TIME(0,0,16),2,0))</f>
        <v/>
      </c>
      <c r="Q10" s="23">
        <v>3.4722222222222218E-4</v>
      </c>
      <c r="R10" s="9" t="str">
        <f>IF(ISBLANK($E10),"",IF(ABS($E10-Q10)&lt;TIME(0,0,16),2,0))</f>
        <v/>
      </c>
      <c r="S10" s="23">
        <v>7.0601851851851847E-4</v>
      </c>
      <c r="T10" s="9" t="str">
        <f>IF(ISBLANK($E10),"",IF(ABS($E10-S10)&lt;TIME(0,0,16),2,0))</f>
        <v/>
      </c>
      <c r="U10" s="23">
        <v>5.2083333333333333E-4</v>
      </c>
      <c r="V10" s="9" t="str">
        <f>IF(ISBLANK($E10),"",IF(ABS($E10-U10)&lt;TIME(0,0,16),2,0))</f>
        <v/>
      </c>
      <c r="W10" s="23">
        <v>2.5694444444444449E-3</v>
      </c>
      <c r="X10" s="9" t="str">
        <f>IF(ISBLANK($E10),"",IF(ABS($E10-W10)&lt;TIME(0,0,16),2,0))</f>
        <v/>
      </c>
      <c r="Y10" s="23">
        <v>1.3310185185185181E-3</v>
      </c>
      <c r="Z10" s="9" t="str">
        <f>IF(ISBLANK($E10),"",IF(ABS($E10-Y10)&lt;TIME(0,0,16),2,0))</f>
        <v/>
      </c>
      <c r="AA10" s="23">
        <v>7.8703703703703705E-4</v>
      </c>
      <c r="AB10" s="9" t="str">
        <f>IF(ISBLANK($E10),"",IF(ABS($E10-AA10)&lt;TIME(0,0,16),2,0))</f>
        <v/>
      </c>
      <c r="AC10" s="23">
        <v>6.9444444444444447E-4</v>
      </c>
      <c r="AD10" s="9" t="str">
        <f>IF(ISBLANK($E10),"",IF(ABS($E10-AC10)&lt;TIME(0,0,16),2,0))</f>
        <v/>
      </c>
      <c r="AE10" s="23">
        <v>4.861111111111111E-4</v>
      </c>
      <c r="AF10" s="9" t="str">
        <f>IF(ISBLANK($E10),"",IF(ABS($E10-AE10)&lt;TIME(0,0,16),2,0))</f>
        <v/>
      </c>
      <c r="AG10" s="23">
        <v>5.5555555555555556E-4</v>
      </c>
      <c r="AH10" s="9" t="str">
        <f>IF(ISBLANK($E10),"",IF(ABS($E10-AG10)&lt;TIME(0,0,16),2,0))</f>
        <v/>
      </c>
      <c r="AI10" s="23">
        <v>4.0509259259259258E-4</v>
      </c>
      <c r="AJ10" s="9" t="str">
        <f>IF(ISBLANK($E10),"",IF(ABS($E10-AI10)&lt;TIME(0,0,16),2,0))</f>
        <v/>
      </c>
      <c r="AK10" s="23">
        <v>2.3842592592592591E-3</v>
      </c>
      <c r="AL10" s="9" t="str">
        <f>IF(ISBLANK($E10),"",IF(ABS($E10-AK10)&lt;TIME(0,0,16),2,0))</f>
        <v/>
      </c>
      <c r="AM10" s="23">
        <v>5.0925925925925921E-4</v>
      </c>
      <c r="AN10" s="9" t="str">
        <f>IF(ISBLANK($E10),"",IF(ABS($E10-AM10)&lt;TIME(0,0,16),2,0))</f>
        <v/>
      </c>
      <c r="AO10" s="23">
        <v>1.423611111111111E-3</v>
      </c>
      <c r="AP10" s="9" t="str">
        <f>IF(ISBLANK($E10),"",IF(ABS($E10-AO10)&lt;TIME(0,0,16),2,0))</f>
        <v/>
      </c>
      <c r="AQ10" s="23">
        <v>1.9097222222222219E-3</v>
      </c>
      <c r="AR10" s="9" t="str">
        <f>IF(ISBLANK($E10),"",IF(ABS($E10-AQ10)&lt;TIME(0,0,16),2,0))</f>
        <v/>
      </c>
      <c r="AS10" s="23">
        <v>6.8287037037037036E-4</v>
      </c>
      <c r="AT10" s="9" t="str">
        <f>IF(ISBLANK($E10),"",IF(ABS($E10-AS10)&lt;TIME(0,0,16),2,0))</f>
        <v/>
      </c>
      <c r="AU10" s="23">
        <v>4.0509259259259258E-4</v>
      </c>
      <c r="AV10" s="9" t="str">
        <f>IF(ISBLANK($E10),"",IF(ABS($E10-AU10)&lt;TIME(0,0,16),2,0))</f>
        <v/>
      </c>
      <c r="AW10" s="23">
        <v>5.7870370370370367E-4</v>
      </c>
      <c r="AX10" s="9" t="str">
        <f>IF(ISBLANK($E10),"",IF(ABS($E10-AW10)&lt;TIME(0,0,16),2,0))</f>
        <v/>
      </c>
      <c r="AY10" s="23">
        <v>1.1226851851851849E-3</v>
      </c>
      <c r="AZ10" s="9" t="str">
        <f>IF(ISBLANK($E10),"",IF(ABS($E10-AY10)&lt;TIME(0,0,16),2,0))</f>
        <v/>
      </c>
      <c r="BA10" s="23">
        <v>4.9768518518518521E-4</v>
      </c>
      <c r="BB10" s="9" t="str">
        <f>IF(ISBLANK($E10),"",IF(ABS($E10-BA10)&lt;TIME(0,0,16),2,0))</f>
        <v/>
      </c>
      <c r="BC10" s="23">
        <v>4.2824074074074081E-4</v>
      </c>
      <c r="BD10" s="9" t="str">
        <f>IF(ISBLANK($E10),"",IF(ABS($E10-BC10)&lt;TIME(0,0,16),2,0))</f>
        <v/>
      </c>
      <c r="BE10" s="23">
        <v>2.3958333333333331E-3</v>
      </c>
      <c r="BF10" s="9" t="str">
        <f>IF(ISBLANK($E10),"",IF(ABS($E10-BE10)&lt;TIME(0,0,16),2,0))</f>
        <v/>
      </c>
    </row>
    <row r="11" spans="2:58" x14ac:dyDescent="0.3">
      <c r="B11" s="38" t="s">
        <v>91</v>
      </c>
      <c r="C11" s="21" t="s">
        <v>107</v>
      </c>
      <c r="D11" s="15" t="s">
        <v>82</v>
      </c>
      <c r="E11" s="235" t="s">
        <v>243</v>
      </c>
      <c r="F11" s="236"/>
      <c r="G11" s="18" t="s">
        <v>30</v>
      </c>
      <c r="H11" s="9">
        <f>IF(ISBLANK($E11)=TRUE,"",IF(ISNUMBER(SEARCH(G11,$E11)),2,0))</f>
        <v>0</v>
      </c>
      <c r="I11" s="18" t="s">
        <v>54</v>
      </c>
      <c r="J11" s="9">
        <f>IF(ISBLANK($E11)=TRUE,"",IF(ISNUMBER(SEARCH(I11,$E11)),2,0))</f>
        <v>0</v>
      </c>
      <c r="K11" s="18" t="s">
        <v>44</v>
      </c>
      <c r="L11" s="9">
        <f>IF(ISBLANK($E11)=TRUE,"",IF(ISNUMBER(SEARCH(K11,$E11)),2,0))</f>
        <v>0</v>
      </c>
      <c r="M11" s="18" t="s">
        <v>33</v>
      </c>
      <c r="N11" s="9">
        <f>IF(ISBLANK($E11)=TRUE,"",IF(ISNUMBER(SEARCH(M11,$E11)),2,0))</f>
        <v>0</v>
      </c>
      <c r="O11" s="18" t="s">
        <v>45</v>
      </c>
      <c r="P11" s="9">
        <f>IF(ISBLANK($E11)=TRUE,"",IF(ISNUMBER(SEARCH(O11,$E11)),2,0))</f>
        <v>0</v>
      </c>
      <c r="Q11" s="18" t="s">
        <v>26</v>
      </c>
      <c r="R11" s="9">
        <f>IF(ISBLANK($E11)=TRUE,"",IF(ISNUMBER(SEARCH(Q11,$E11)),2,0))</f>
        <v>0</v>
      </c>
      <c r="S11" s="18" t="s">
        <v>61</v>
      </c>
      <c r="T11" s="9">
        <f>IF(ISBLANK($E11)=TRUE,"",IF(ISNUMBER(SEARCH(S11,$E11)),2,0))</f>
        <v>0</v>
      </c>
      <c r="U11" s="18" t="s">
        <v>22</v>
      </c>
      <c r="V11" s="9">
        <f>IF(ISBLANK($E11)=TRUE,"",IF(ISNUMBER(SEARCH(U11,$E11)),2,0))</f>
        <v>0</v>
      </c>
      <c r="W11" s="18" t="s">
        <v>19</v>
      </c>
      <c r="X11" s="9">
        <f>IF(ISBLANK($E11)=TRUE,"",IF(ISNUMBER(SEARCH(W11,$E11)),2,0))</f>
        <v>0</v>
      </c>
      <c r="Y11" s="18" t="s">
        <v>54</v>
      </c>
      <c r="Z11" s="9">
        <f>IF(ISBLANK($E11)=TRUE,"",IF(ISNUMBER(SEARCH(Y11,$E11)),2,0))</f>
        <v>0</v>
      </c>
      <c r="AA11" s="18" t="s">
        <v>20</v>
      </c>
      <c r="AB11" s="9">
        <f>IF(ISBLANK($E11)=TRUE,"",IF(ISNUMBER(SEARCH(AA11,$E11)),2,0))</f>
        <v>0</v>
      </c>
      <c r="AC11" s="18" t="s">
        <v>49</v>
      </c>
      <c r="AD11" s="9">
        <f>IF(ISBLANK($E11)=TRUE,"",IF(ISNUMBER(SEARCH(AC11,$E11)),2,0))</f>
        <v>0</v>
      </c>
      <c r="AE11" s="18" t="s">
        <v>18</v>
      </c>
      <c r="AF11" s="9">
        <f>IF(ISBLANK($E11)=TRUE,"",IF(ISNUMBER(SEARCH(AE11,$E11)),2,0))</f>
        <v>0</v>
      </c>
      <c r="AG11" s="18" t="s">
        <v>54</v>
      </c>
      <c r="AH11" s="9">
        <f>IF(ISBLANK($E11)=TRUE,"",IF(ISNUMBER(SEARCH(AG11,$E11)),2,0))</f>
        <v>0</v>
      </c>
      <c r="AI11" s="18" t="s">
        <v>31</v>
      </c>
      <c r="AJ11" s="9">
        <f>IF(ISBLANK($E11)=TRUE,"",IF(ISNUMBER(SEARCH(AI11,$E11)),2,0))</f>
        <v>0</v>
      </c>
      <c r="AK11" s="18" t="s">
        <v>46</v>
      </c>
      <c r="AL11" s="9">
        <f>IF(ISBLANK($E11)=TRUE,"",IF(ISNUMBER(SEARCH(AK11,$E11)),2,0))</f>
        <v>0</v>
      </c>
      <c r="AM11" s="18" t="s">
        <v>17</v>
      </c>
      <c r="AN11" s="9">
        <f>IF(ISBLANK($E11)=TRUE,"",IF(ISNUMBER(SEARCH(AM11,$E11)),2,0))</f>
        <v>0</v>
      </c>
      <c r="AO11" s="18" t="s">
        <v>45</v>
      </c>
      <c r="AP11" s="9">
        <f>IF(ISBLANK($E11)=TRUE,"",IF(ISNUMBER(SEARCH(AO11,$E11)),2,0))</f>
        <v>0</v>
      </c>
      <c r="AQ11" s="18" t="s">
        <v>19</v>
      </c>
      <c r="AR11" s="9">
        <f>IF(ISBLANK($E11)=TRUE,"",IF(ISNUMBER(SEARCH(AQ11,$E11)),2,0))</f>
        <v>0</v>
      </c>
      <c r="AS11" s="18" t="s">
        <v>17</v>
      </c>
      <c r="AT11" s="9">
        <f>IF(ISBLANK($E11)=TRUE,"",IF(ISNUMBER(SEARCH(AS11,$E11)),2,0))</f>
        <v>0</v>
      </c>
      <c r="AU11" s="18" t="s">
        <v>19</v>
      </c>
      <c r="AV11" s="9">
        <f>IF(ISBLANK($E11)=TRUE,"",IF(ISNUMBER(SEARCH(AU11,$E11)),2,0))</f>
        <v>0</v>
      </c>
      <c r="AW11" s="18" t="s">
        <v>22</v>
      </c>
      <c r="AX11" s="9">
        <f>IF(ISBLANK($E11)=TRUE,"",IF(ISNUMBER(SEARCH(AW11,$E11)),2,0))</f>
        <v>0</v>
      </c>
      <c r="AY11" s="18" t="s">
        <v>19</v>
      </c>
      <c r="AZ11" s="9">
        <f>IF(ISBLANK($E11)=TRUE,"",IF(ISNUMBER(SEARCH(AY11,$E11)),2,0))</f>
        <v>0</v>
      </c>
      <c r="BA11" s="18" t="s">
        <v>60</v>
      </c>
      <c r="BB11" s="9">
        <f>IF(ISBLANK($E11)=TRUE,"",IF(ISNUMBER(SEARCH(BA11,$E11)),2,0))</f>
        <v>0</v>
      </c>
      <c r="BC11" s="18" t="s">
        <v>59</v>
      </c>
      <c r="BD11" s="9">
        <f>IF(ISBLANK($E11)=TRUE,"",IF(ISNUMBER(SEARCH(BC11,$E11)),2,0))</f>
        <v>0</v>
      </c>
      <c r="BE11" s="18" t="s">
        <v>45</v>
      </c>
      <c r="BF11" s="9">
        <f>IF(ISBLANK($E11)=TRUE,"",IF(ISNUMBER(SEARCH(BE11,$E11)),2,0))</f>
        <v>0</v>
      </c>
    </row>
    <row r="12" spans="2:58" x14ac:dyDescent="0.3">
      <c r="B12" s="38"/>
      <c r="C12" s="21"/>
      <c r="D12" s="15"/>
      <c r="E12" s="235"/>
      <c r="F12" s="236"/>
      <c r="G12" s="18" t="s">
        <v>31</v>
      </c>
      <c r="H12" s="9">
        <f>IF(ISBLANK($E11)=TRUE,"",IF(ISNUMBER(SEARCH(G12,$E11)),2,0))</f>
        <v>0</v>
      </c>
      <c r="I12" s="18" t="s">
        <v>45</v>
      </c>
      <c r="J12" s="9">
        <f>IF(ISBLANK($E11)=TRUE,"",IF(ISNUMBER(SEARCH(I12,$E11)),2,0))</f>
        <v>0</v>
      </c>
      <c r="K12" s="18" t="s">
        <v>39</v>
      </c>
      <c r="L12" s="9">
        <f>IF(ISBLANK($E11)=TRUE,"",IF(ISNUMBER(SEARCH(K12,$E11)),2,0))</f>
        <v>0</v>
      </c>
      <c r="M12" s="18" t="s">
        <v>27</v>
      </c>
      <c r="N12" s="9">
        <f>IF(ISBLANK($E11)=TRUE,"",IF(ISNUMBER(SEARCH(M12,$E11)),2,0))</f>
        <v>0</v>
      </c>
      <c r="O12" s="18" t="s">
        <v>42</v>
      </c>
      <c r="P12" s="9">
        <f>IF(ISBLANK($E11)=TRUE,"",IF(ISNUMBER(SEARCH(O12,$E11)),2,0))</f>
        <v>0</v>
      </c>
      <c r="Q12" s="18" t="s">
        <v>208</v>
      </c>
      <c r="R12" s="9">
        <f>IF(ISBLANK($E11)=TRUE,"",IF(ISNUMBER(SEARCH(Q12,$E11)),2,0))</f>
        <v>0</v>
      </c>
      <c r="S12" s="18" t="s">
        <v>26</v>
      </c>
      <c r="T12" s="9">
        <f>IF(ISBLANK($E11)=TRUE,"",IF(ISNUMBER(SEARCH(S12,$E11)),2,0))</f>
        <v>0</v>
      </c>
      <c r="U12" s="18" t="s">
        <v>45</v>
      </c>
      <c r="V12" s="9">
        <f>IF(ISBLANK($E11)=TRUE,"",IF(ISNUMBER(SEARCH(U12,$E11)),2,0))</f>
        <v>0</v>
      </c>
      <c r="W12" s="18" t="s">
        <v>41</v>
      </c>
      <c r="X12" s="9">
        <f>IF(ISBLANK($E11)=TRUE,"",IF(ISNUMBER(SEARCH(W12,$E11)),2,0))</f>
        <v>0</v>
      </c>
      <c r="Y12" s="18" t="s">
        <v>20</v>
      </c>
      <c r="Z12" s="9">
        <f>IF(ISBLANK($E11)=TRUE,"",IF(ISNUMBER(SEARCH(Y12,$E11)),2,0))</f>
        <v>0</v>
      </c>
      <c r="AA12" s="18" t="s">
        <v>45</v>
      </c>
      <c r="AB12" s="9">
        <f>IF(ISBLANK($E11)=TRUE,"",IF(ISNUMBER(SEARCH(AA12,$E11)),2,0))</f>
        <v>0</v>
      </c>
      <c r="AC12" s="18" t="s">
        <v>24</v>
      </c>
      <c r="AD12" s="9">
        <f>IF(ISBLANK($E11)=TRUE,"",IF(ISNUMBER(SEARCH(AC12,$E11)),2,0))</f>
        <v>0</v>
      </c>
      <c r="AE12" s="18" t="s">
        <v>59</v>
      </c>
      <c r="AF12" s="9">
        <f>IF(ISBLANK($E11)=TRUE,"",IF(ISNUMBER(SEARCH(AE12,$E11)),2,0))</f>
        <v>0</v>
      </c>
      <c r="AG12" s="18" t="s">
        <v>42</v>
      </c>
      <c r="AH12" s="9">
        <f>IF(ISBLANK($E11)=TRUE,"",IF(ISNUMBER(SEARCH(AG12,$E11)),2,0))</f>
        <v>0</v>
      </c>
      <c r="AI12" s="18" t="s">
        <v>54</v>
      </c>
      <c r="AJ12" s="9">
        <f>IF(ISBLANK($E11)=TRUE,"",IF(ISNUMBER(SEARCH(AI12,$E11)),2,0))</f>
        <v>0</v>
      </c>
      <c r="AK12" s="18" t="s">
        <v>37</v>
      </c>
      <c r="AL12" s="9">
        <f>IF(ISBLANK($E11)=TRUE,"",IF(ISNUMBER(SEARCH(AK12,$E11)),2,0))</f>
        <v>0</v>
      </c>
      <c r="AM12" s="18" t="s">
        <v>16</v>
      </c>
      <c r="AN12" s="9">
        <f>IF(ISBLANK($E11)=TRUE,"",IF(ISNUMBER(SEARCH(AM12,$E11)),2,0))</f>
        <v>0</v>
      </c>
      <c r="AO12" s="18" t="s">
        <v>16</v>
      </c>
      <c r="AP12" s="9">
        <f>IF(ISBLANK($E11)=TRUE,"",IF(ISNUMBER(SEARCH(AO12,$E11)),2,0))</f>
        <v>0</v>
      </c>
      <c r="AQ12" s="18" t="s">
        <v>49</v>
      </c>
      <c r="AR12" s="9">
        <f>IF(ISBLANK($E11)=TRUE,"",IF(ISNUMBER(SEARCH(AQ12,$E11)),2,0))</f>
        <v>0</v>
      </c>
      <c r="AS12" s="18" t="s">
        <v>34</v>
      </c>
      <c r="AT12" s="9">
        <f>IF(ISBLANK($E11)=TRUE,"",IF(ISNUMBER(SEARCH(AS12,$E11)),2,0))</f>
        <v>0</v>
      </c>
      <c r="AU12" s="18" t="s">
        <v>59</v>
      </c>
      <c r="AV12" s="9">
        <f>IF(ISBLANK($E11)=TRUE,"",IF(ISNUMBER(SEARCH(AU12,$E11)),2,0))</f>
        <v>0</v>
      </c>
      <c r="AW12" s="18" t="s">
        <v>26</v>
      </c>
      <c r="AX12" s="9">
        <f>IF(ISBLANK($E11)=TRUE,"",IF(ISNUMBER(SEARCH(AW12,$E11)),2,0))</f>
        <v>0</v>
      </c>
      <c r="AY12" s="18" t="s">
        <v>30</v>
      </c>
      <c r="AZ12" s="9">
        <f>IF(ISBLANK($E11)=TRUE,"",IF(ISNUMBER(SEARCH(AY12,$E11)),2,0))</f>
        <v>0</v>
      </c>
      <c r="BA12" s="18" t="s">
        <v>26</v>
      </c>
      <c r="BB12" s="9">
        <f>IF(ISBLANK($E11)=TRUE,"",IF(ISNUMBER(SEARCH(BA12,$E11)),2,0))</f>
        <v>0</v>
      </c>
      <c r="BC12" s="18" t="s">
        <v>54</v>
      </c>
      <c r="BD12" s="9">
        <f>IF(ISBLANK($E11)=TRUE,"",IF(ISNUMBER(SEARCH(BC12,$E11)),2,0))</f>
        <v>0</v>
      </c>
      <c r="BE12" s="18" t="s">
        <v>54</v>
      </c>
      <c r="BF12" s="9">
        <f>IF(ISBLANK($E11)=TRUE,"",IF(ISNUMBER(SEARCH(BE12,$E11)),2,0))</f>
        <v>0</v>
      </c>
    </row>
    <row r="13" spans="2:58" x14ac:dyDescent="0.3">
      <c r="B13" s="38" t="s">
        <v>92</v>
      </c>
      <c r="C13" s="21" t="s">
        <v>136</v>
      </c>
      <c r="D13" s="15" t="s">
        <v>82</v>
      </c>
      <c r="E13" s="235" t="s">
        <v>24</v>
      </c>
      <c r="F13" s="236"/>
      <c r="G13" s="18" t="s">
        <v>62</v>
      </c>
      <c r="H13" s="9">
        <f>IF(ISBLANK($E13)=TRUE,"",IF(ISNUMBER(SEARCH(G13,$E13)),2,0))</f>
        <v>0</v>
      </c>
      <c r="I13" s="18" t="s">
        <v>60</v>
      </c>
      <c r="J13" s="9">
        <f>IF(ISBLANK($E13)=TRUE,"",IF(ISNUMBER(SEARCH(I13,$E13)),2,0))</f>
        <v>0</v>
      </c>
      <c r="K13" s="18" t="s">
        <v>45</v>
      </c>
      <c r="L13" s="9">
        <f>IF(ISBLANK($E13)=TRUE,"",IF(ISNUMBER(SEARCH(K13,$E13)),2,0))</f>
        <v>0</v>
      </c>
      <c r="M13" s="18" t="s">
        <v>33</v>
      </c>
      <c r="N13" s="9">
        <f>IF(ISBLANK($E13)=TRUE,"",IF(ISNUMBER(SEARCH(M13,$E13)),2,0))</f>
        <v>0</v>
      </c>
      <c r="O13" s="18" t="s">
        <v>52</v>
      </c>
      <c r="P13" s="9">
        <f>IF(ISBLANK($E13)=TRUE,"",IF(ISNUMBER(SEARCH(O13,$E13)),2,0))</f>
        <v>0</v>
      </c>
      <c r="Q13" s="18" t="s">
        <v>59</v>
      </c>
      <c r="R13" s="9">
        <f>IF(ISBLANK($E13)=TRUE,"",IF(ISNUMBER(SEARCH(Q13,$E13)),2,0))</f>
        <v>0</v>
      </c>
      <c r="S13" s="18" t="s">
        <v>21</v>
      </c>
      <c r="T13" s="9">
        <f>IF(ISBLANK($E13)=TRUE,"",IF(ISNUMBER(SEARCH(S13,$E13)),2,0))</f>
        <v>0</v>
      </c>
      <c r="U13" s="18" t="s">
        <v>172</v>
      </c>
      <c r="V13" s="9">
        <f>IF(ISBLANK($E13)=TRUE,"",IF(ISNUMBER(SEARCH(U13,$E13)),2,0))</f>
        <v>0</v>
      </c>
      <c r="W13" s="18" t="s">
        <v>21</v>
      </c>
      <c r="X13" s="9">
        <f>IF(ISBLANK($E13)=TRUE,"",IF(ISNUMBER(SEARCH(W13,$E13)),2,0))</f>
        <v>0</v>
      </c>
      <c r="Y13" s="18" t="s">
        <v>17</v>
      </c>
      <c r="Z13" s="9">
        <f>IF(ISBLANK($E13)=TRUE,"",IF(ISNUMBER(SEARCH(Y13,$E13)),2,0))</f>
        <v>0</v>
      </c>
      <c r="AA13" s="18" t="s">
        <v>49</v>
      </c>
      <c r="AB13" s="9">
        <f>IF(ISBLANK($E13)=TRUE,"",IF(ISNUMBER(SEARCH(AA13,$E13)),2,0))</f>
        <v>0</v>
      </c>
      <c r="AC13" s="18" t="s">
        <v>24</v>
      </c>
      <c r="AD13" s="9">
        <f>IF(ISBLANK($E13)=TRUE,"",IF(ISNUMBER(SEARCH(AC13,$E13)),2,0))</f>
        <v>2</v>
      </c>
      <c r="AE13" s="18" t="s">
        <v>22</v>
      </c>
      <c r="AF13" s="9">
        <f>IF(ISBLANK($E13)=TRUE,"",IF(ISNUMBER(SEARCH(AE13,$E13)),2,0))</f>
        <v>0</v>
      </c>
      <c r="AG13" s="18" t="s">
        <v>47</v>
      </c>
      <c r="AH13" s="9">
        <f>IF(ISBLANK($E13)=TRUE,"",IF(ISNUMBER(SEARCH(AG13,$E13)),2,0))</f>
        <v>0</v>
      </c>
      <c r="AI13" s="18" t="s">
        <v>172</v>
      </c>
      <c r="AJ13" s="9">
        <f>IF(ISBLANK($E13)=TRUE,"",IF(ISNUMBER(SEARCH(AI13,$E13)),2,0))</f>
        <v>0</v>
      </c>
      <c r="AK13" s="18" t="s">
        <v>47</v>
      </c>
      <c r="AL13" s="9">
        <f>IF(ISBLANK($E13)=TRUE,"",IF(ISNUMBER(SEARCH(AK13,$E13)),2,0))</f>
        <v>0</v>
      </c>
      <c r="AM13" s="18" t="s">
        <v>47</v>
      </c>
      <c r="AN13" s="9">
        <f>IF(ISBLANK($E13)=TRUE,"",IF(ISNUMBER(SEARCH(AM13,$E13)),2,0))</f>
        <v>0</v>
      </c>
      <c r="AO13" s="18" t="s">
        <v>33</v>
      </c>
      <c r="AP13" s="9">
        <f>IF(ISBLANK($E13)=TRUE,"",IF(ISNUMBER(SEARCH(AO13,$E13)),2,0))</f>
        <v>0</v>
      </c>
      <c r="AQ13" s="18" t="s">
        <v>59</v>
      </c>
      <c r="AR13" s="9">
        <f>IF(ISBLANK($E13)=TRUE,"",IF(ISNUMBER(SEARCH(AQ13,$E13)),2,0))</f>
        <v>0</v>
      </c>
      <c r="AS13" s="18" t="s">
        <v>172</v>
      </c>
      <c r="AT13" s="9">
        <f>IF(ISBLANK($E13)=TRUE,"",IF(ISNUMBER(SEARCH(AS13,$E13)),2,0))</f>
        <v>0</v>
      </c>
      <c r="AU13" s="18" t="s">
        <v>21</v>
      </c>
      <c r="AV13" s="9">
        <f>IF(ISBLANK($E13)=TRUE,"",IF(ISNUMBER(SEARCH(AU13,$E13)),2,0))</f>
        <v>0</v>
      </c>
      <c r="AW13" s="18" t="s">
        <v>23</v>
      </c>
      <c r="AX13" s="9">
        <f>IF(ISBLANK($E13)=TRUE,"",IF(ISNUMBER(SEARCH(AW13,$E13)),2,0))</f>
        <v>0</v>
      </c>
      <c r="AY13" s="18" t="s">
        <v>25</v>
      </c>
      <c r="AZ13" s="9">
        <f>IF(ISBLANK($E13)=TRUE,"",IF(ISNUMBER(SEARCH(AY13,$E13)),2,0))</f>
        <v>0</v>
      </c>
      <c r="BA13" s="18" t="s">
        <v>26</v>
      </c>
      <c r="BB13" s="9">
        <f>IF(ISBLANK($E13)=TRUE,"",IF(ISNUMBER(SEARCH(BA13,$E13)),2,0))</f>
        <v>0</v>
      </c>
      <c r="BC13" s="18" t="s">
        <v>22</v>
      </c>
      <c r="BD13" s="9">
        <f>IF(ISBLANK($E13)=TRUE,"",IF(ISNUMBER(SEARCH(BC13,$E13)),2,0))</f>
        <v>0</v>
      </c>
      <c r="BE13" s="18" t="s">
        <v>32</v>
      </c>
      <c r="BF13" s="9">
        <f>IF(ISBLANK($E13)=TRUE,"",IF(ISNUMBER(SEARCH(BE13,$E13)),2,0))</f>
        <v>0</v>
      </c>
    </row>
    <row r="14" spans="2:58" x14ac:dyDescent="0.3">
      <c r="B14" s="38"/>
      <c r="C14" s="21"/>
      <c r="D14" s="15"/>
      <c r="E14" s="235"/>
      <c r="F14" s="236"/>
      <c r="G14" s="18" t="s">
        <v>22</v>
      </c>
      <c r="H14" s="9">
        <f>IF(ISBLANK($E13)=TRUE,"",IF(ISNUMBER(SEARCH(G14,$E13)),2,0))</f>
        <v>0</v>
      </c>
      <c r="I14" s="18" t="s">
        <v>33</v>
      </c>
      <c r="J14" s="9">
        <f>IF(ISBLANK($E13)=TRUE,"",IF(ISNUMBER(SEARCH(I14,$E13)),2,0))</f>
        <v>0</v>
      </c>
      <c r="K14" s="18" t="s">
        <v>44</v>
      </c>
      <c r="L14" s="9">
        <f>IF(ISBLANK($E13)=TRUE,"",IF(ISNUMBER(SEARCH(K14,$E13)),2,0))</f>
        <v>0</v>
      </c>
      <c r="M14" s="18" t="s">
        <v>61</v>
      </c>
      <c r="N14" s="9">
        <f>IF(ISBLANK($E13)=TRUE,"",IF(ISNUMBER(SEARCH(M14,$E13)),2,0))</f>
        <v>0</v>
      </c>
      <c r="O14" s="18" t="s">
        <v>40</v>
      </c>
      <c r="P14" s="9">
        <f>IF(ISBLANK($E13)=TRUE,"",IF(ISNUMBER(SEARCH(O14,$E13)),2,0))</f>
        <v>0</v>
      </c>
      <c r="Q14" s="18" t="s">
        <v>57</v>
      </c>
      <c r="R14" s="9">
        <f>IF(ISBLANK($E13)=TRUE,"",IF(ISNUMBER(SEARCH(Q14,$E13)),2,0))</f>
        <v>0</v>
      </c>
      <c r="S14" s="18" t="s">
        <v>172</v>
      </c>
      <c r="T14" s="9">
        <f>IF(ISBLANK($E13)=TRUE,"",IF(ISNUMBER(SEARCH(S14,$E13)),2,0))</f>
        <v>0</v>
      </c>
      <c r="U14" s="18" t="s">
        <v>46</v>
      </c>
      <c r="V14" s="9">
        <f>IF(ISBLANK($E13)=TRUE,"",IF(ISNUMBER(SEARCH(U14,$E13)),2,0))</f>
        <v>0</v>
      </c>
      <c r="W14" s="18" t="s">
        <v>17</v>
      </c>
      <c r="X14" s="9">
        <f>IF(ISBLANK($E13)=TRUE,"",IF(ISNUMBER(SEARCH(W14,$E13)),2,0))</f>
        <v>0</v>
      </c>
      <c r="Y14" s="18" t="s">
        <v>213</v>
      </c>
      <c r="Z14" s="9">
        <f>IF(ISBLANK($E13)=TRUE,"",IF(ISNUMBER(SEARCH(Y14,$E13)),2,0))</f>
        <v>0</v>
      </c>
      <c r="AA14" s="18" t="s">
        <v>33</v>
      </c>
      <c r="AB14" s="9">
        <f>IF(ISBLANK($E13)=TRUE,"",IF(ISNUMBER(SEARCH(AA14,$E13)),2,0))</f>
        <v>0</v>
      </c>
      <c r="AC14" s="18" t="s">
        <v>47</v>
      </c>
      <c r="AD14" s="9">
        <f>IF(ISBLANK($E13)=TRUE,"",IF(ISNUMBER(SEARCH(AC14,$E13)),2,0))</f>
        <v>0</v>
      </c>
      <c r="AE14" s="18" t="s">
        <v>40</v>
      </c>
      <c r="AF14" s="9">
        <f>IF(ISBLANK($E13)=TRUE,"",IF(ISNUMBER(SEARCH(AE14,$E13)),2,0))</f>
        <v>0</v>
      </c>
      <c r="AG14" s="18" t="s">
        <v>61</v>
      </c>
      <c r="AH14" s="9">
        <f>IF(ISBLANK($E13)=TRUE,"",IF(ISNUMBER(SEARCH(AG14,$E13)),2,0))</f>
        <v>0</v>
      </c>
      <c r="AI14" s="18" t="s">
        <v>40</v>
      </c>
      <c r="AJ14" s="9">
        <f>IF(ISBLANK($E13)=TRUE,"",IF(ISNUMBER(SEARCH(AI14,$E13)),2,0))</f>
        <v>0</v>
      </c>
      <c r="AK14" s="18" t="s">
        <v>23</v>
      </c>
      <c r="AL14" s="9">
        <f>IF(ISBLANK($E13)=TRUE,"",IF(ISNUMBER(SEARCH(AK14,$E13)),2,0))</f>
        <v>0</v>
      </c>
      <c r="AM14" s="18" t="s">
        <v>16</v>
      </c>
      <c r="AN14" s="9">
        <f>IF(ISBLANK($E13)=TRUE,"",IF(ISNUMBER(SEARCH(AM14,$E13)),2,0))</f>
        <v>0</v>
      </c>
      <c r="AO14" s="18" t="s">
        <v>2</v>
      </c>
      <c r="AP14" s="9">
        <f>IF(ISBLANK($E13)=TRUE,"",IF(ISNUMBER(SEARCH(AO14,$E13)),2,0))</f>
        <v>0</v>
      </c>
      <c r="AQ14" s="18" t="s">
        <v>23</v>
      </c>
      <c r="AR14" s="9">
        <f>IF(ISBLANK($E13)=TRUE,"",IF(ISNUMBER(SEARCH(AQ14,$E13)),2,0))</f>
        <v>0</v>
      </c>
      <c r="AS14" s="18" t="s">
        <v>40</v>
      </c>
      <c r="AT14" s="9">
        <f>IF(ISBLANK($E13)=TRUE,"",IF(ISNUMBER(SEARCH(AS14,$E13)),2,0))</f>
        <v>0</v>
      </c>
      <c r="AU14" s="18" t="s">
        <v>24</v>
      </c>
      <c r="AV14" s="9">
        <f>IF(ISBLANK($E13)=TRUE,"",IF(ISNUMBER(SEARCH(AU14,$E13)),2,0))</f>
        <v>2</v>
      </c>
      <c r="AW14" s="18" t="s">
        <v>31</v>
      </c>
      <c r="AX14" s="9">
        <f>IF(ISBLANK($E13)=TRUE,"",IF(ISNUMBER(SEARCH(AW14,$E13)),2,0))</f>
        <v>0</v>
      </c>
      <c r="AY14" s="18" t="s">
        <v>34</v>
      </c>
      <c r="AZ14" s="9">
        <f>IF(ISBLANK($E13)=TRUE,"",IF(ISNUMBER(SEARCH(AY14,$E13)),2,0))</f>
        <v>0</v>
      </c>
      <c r="BA14" s="18" t="s">
        <v>4</v>
      </c>
      <c r="BB14" s="9">
        <f>IF(ISBLANK($E13)=TRUE,"",IF(ISNUMBER(SEARCH(BA14,$E13)),2,0))</f>
        <v>0</v>
      </c>
      <c r="BC14" s="18" t="s">
        <v>34</v>
      </c>
      <c r="BD14" s="9">
        <f>IF(ISBLANK($E13)=TRUE,"",IF(ISNUMBER(SEARCH(BC14,$E13)),2,0))</f>
        <v>0</v>
      </c>
      <c r="BE14" s="18" t="s">
        <v>34</v>
      </c>
      <c r="BF14" s="9">
        <f>IF(ISBLANK($E13)=TRUE,"",IF(ISNUMBER(SEARCH(BE14,$E13)),2,0))</f>
        <v>0</v>
      </c>
    </row>
    <row r="15" spans="2:58" x14ac:dyDescent="0.3">
      <c r="B15" s="38" t="s">
        <v>93</v>
      </c>
      <c r="C15" s="21" t="s">
        <v>108</v>
      </c>
      <c r="D15" s="15" t="s">
        <v>82</v>
      </c>
      <c r="E15" s="235"/>
      <c r="F15" s="236"/>
      <c r="G15" s="18" t="s">
        <v>140</v>
      </c>
      <c r="H15" s="9" t="str">
        <f>IF(ISBLANK($E15)=TRUE,"",IF($E15=G15,2,0))</f>
        <v/>
      </c>
      <c r="I15" s="18" t="s">
        <v>140</v>
      </c>
      <c r="J15" s="9" t="str">
        <f>IF(ISBLANK($E15)=TRUE,"",IF($E15=I15,2,0))</f>
        <v/>
      </c>
      <c r="K15" s="18" t="s">
        <v>186</v>
      </c>
      <c r="L15" s="9" t="str">
        <f>IF(ISBLANK($E15)=TRUE,"",IF($E15=K15,2,0))</f>
        <v/>
      </c>
      <c r="M15" s="18" t="s">
        <v>183</v>
      </c>
      <c r="N15" s="9" t="str">
        <f>IF(ISBLANK($E15)=TRUE,"",IF($E15=M15,2,0))</f>
        <v/>
      </c>
      <c r="O15" s="18" t="s">
        <v>183</v>
      </c>
      <c r="P15" s="9" t="str">
        <f>IF(ISBLANK($E15)=TRUE,"",IF($E15=O15,2,0))</f>
        <v/>
      </c>
      <c r="Q15" s="18" t="s">
        <v>210</v>
      </c>
      <c r="R15" s="9" t="str">
        <f>IF(ISBLANK($E15)=TRUE,"",IF($E15=Q15,2,0))</f>
        <v/>
      </c>
      <c r="S15" s="18" t="s">
        <v>140</v>
      </c>
      <c r="T15" s="9" t="str">
        <f>IF(ISBLANK($E15)=TRUE,"",IF($E15=S15,2,0))</f>
        <v/>
      </c>
      <c r="U15" s="18" t="s">
        <v>186</v>
      </c>
      <c r="V15" s="9" t="str">
        <f>IF(ISBLANK($E15)=TRUE,"",IF($E15=U15,2,0))</f>
        <v/>
      </c>
      <c r="W15" s="18" t="s">
        <v>199</v>
      </c>
      <c r="X15" s="9" t="str">
        <f>IF(ISBLANK($E15)=TRUE,"",IF($E15=W15,2,0))</f>
        <v/>
      </c>
      <c r="Y15" s="18" t="s">
        <v>214</v>
      </c>
      <c r="Z15" s="9" t="str">
        <f>IF(ISBLANK($E15)=TRUE,"",IF($E15=Y15,2,0))</f>
        <v/>
      </c>
      <c r="AA15" s="18" t="s">
        <v>237</v>
      </c>
      <c r="AB15" s="9" t="str">
        <f>IF(ISBLANK($E15)=TRUE,"",IF($E15=AA15,2,0))</f>
        <v/>
      </c>
      <c r="AC15" s="18" t="s">
        <v>183</v>
      </c>
      <c r="AD15" s="9" t="str">
        <f>IF(ISBLANK($E15)=TRUE,"",IF($E15=AC15,2,0))</f>
        <v/>
      </c>
      <c r="AE15" s="18" t="s">
        <v>140</v>
      </c>
      <c r="AF15" s="9" t="str">
        <f>IF(ISBLANK($E15)=TRUE,"",IF($E15=AE15,2,0))</f>
        <v/>
      </c>
      <c r="AG15" s="18" t="s">
        <v>183</v>
      </c>
      <c r="AH15" s="9" t="str">
        <f>IF(ISBLANK($E15)=TRUE,"",IF($E15=AG15,2,0))</f>
        <v/>
      </c>
      <c r="AI15" s="18" t="s">
        <v>140</v>
      </c>
      <c r="AJ15" s="9" t="str">
        <f>IF(ISBLANK($E15)=TRUE,"",IF($E15=AI15,2,0))</f>
        <v/>
      </c>
      <c r="AK15" s="18" t="s">
        <v>140</v>
      </c>
      <c r="AL15" s="9" t="str">
        <f>IF(ISBLANK($E15)=TRUE,"",IF($E15=AK15,2,0))</f>
        <v/>
      </c>
      <c r="AM15" s="18" t="s">
        <v>183</v>
      </c>
      <c r="AN15" s="9" t="str">
        <f>IF(ISBLANK($E15)=TRUE,"",IF($E15=AM15,2,0))</f>
        <v/>
      </c>
      <c r="AO15" s="18" t="s">
        <v>194</v>
      </c>
      <c r="AP15" s="9" t="str">
        <f>IF(ISBLANK($E15)=TRUE,"",IF($E15=AO15,2,0))</f>
        <v/>
      </c>
      <c r="AQ15" s="18" t="s">
        <v>186</v>
      </c>
      <c r="AR15" s="9" t="str">
        <f>IF(ISBLANK($E15)=TRUE,"",IF($E15=AQ15,2,0))</f>
        <v/>
      </c>
      <c r="AS15" s="18" t="s">
        <v>140</v>
      </c>
      <c r="AT15" s="9" t="str">
        <f>IF(ISBLANK($E15)=TRUE,"",IF($E15=AS15,2,0))</f>
        <v/>
      </c>
      <c r="AU15" s="18" t="s">
        <v>199</v>
      </c>
      <c r="AV15" s="9" t="str">
        <f>IF(ISBLANK($E15)=TRUE,"",IF($E15=AU15,2,0))</f>
        <v/>
      </c>
      <c r="AW15" s="18" t="s">
        <v>186</v>
      </c>
      <c r="AX15" s="9" t="str">
        <f>IF(ISBLANK($E15)=TRUE,"",IF($E15=AW15,2,0))</f>
        <v/>
      </c>
      <c r="AY15" s="18" t="s">
        <v>140</v>
      </c>
      <c r="AZ15" s="9" t="str">
        <f>IF(ISBLANK($E15)=TRUE,"",IF($E15=AY15,2,0))</f>
        <v/>
      </c>
      <c r="BA15" s="18" t="s">
        <v>140</v>
      </c>
      <c r="BB15" s="9" t="str">
        <f>IF(ISBLANK($E15)=TRUE,"",IF($E15=BA15,2,0))</f>
        <v/>
      </c>
      <c r="BC15" s="18" t="s">
        <v>140</v>
      </c>
      <c r="BD15" s="9" t="str">
        <f>IF(ISBLANK($E15)=TRUE,"",IF($E15=BC15,2,0))</f>
        <v/>
      </c>
      <c r="BE15" s="18" t="s">
        <v>237</v>
      </c>
      <c r="BF15" s="9" t="str">
        <f>IF(ISBLANK($E15)=TRUE,"",IF($E15=BE15,2,0))</f>
        <v/>
      </c>
    </row>
    <row r="16" spans="2:58" x14ac:dyDescent="0.3">
      <c r="B16" s="38" t="s">
        <v>94</v>
      </c>
      <c r="C16" s="21" t="s">
        <v>109</v>
      </c>
      <c r="D16" s="15" t="s">
        <v>82</v>
      </c>
      <c r="E16" s="235"/>
      <c r="F16" s="236"/>
      <c r="G16" s="18" t="s">
        <v>62</v>
      </c>
      <c r="H16" s="9" t="str">
        <f>IF(ISBLANK($E16)=TRUE,"",IF($E16=G16,2,0))</f>
        <v/>
      </c>
      <c r="I16" s="18" t="s">
        <v>172</v>
      </c>
      <c r="J16" s="9" t="str">
        <f>IF(ISBLANK($E16)=TRUE,"",IF($E16=I16,2,0))</f>
        <v/>
      </c>
      <c r="K16" s="18" t="s">
        <v>21</v>
      </c>
      <c r="L16" s="9" t="str">
        <f>IF(ISBLANK($E16)=TRUE,"",IF($E16=K16,2,0))</f>
        <v/>
      </c>
      <c r="M16" s="18" t="s">
        <v>52</v>
      </c>
      <c r="N16" s="9" t="str">
        <f>IF(ISBLANK($E16)=TRUE,"",IF($E16=M16,2,0))</f>
        <v/>
      </c>
      <c r="O16" s="18" t="s">
        <v>52</v>
      </c>
      <c r="P16" s="9" t="str">
        <f>IF(ISBLANK($E16)=TRUE,"",IF($E16=O16,2,0))</f>
        <v/>
      </c>
      <c r="Q16" s="18" t="s">
        <v>38</v>
      </c>
      <c r="R16" s="9" t="str">
        <f>IF(ISBLANK($E16)=TRUE,"",IF($E16=Q16,2,0))</f>
        <v/>
      </c>
      <c r="S16" s="18" t="s">
        <v>172</v>
      </c>
      <c r="T16" s="9" t="str">
        <f>IF(ISBLANK($E16)=TRUE,"",IF($E16=S16,2,0))</f>
        <v/>
      </c>
      <c r="U16" s="18" t="s">
        <v>17</v>
      </c>
      <c r="V16" s="9" t="str">
        <f>IF(ISBLANK($E16)=TRUE,"",IF($E16=U16,2,0))</f>
        <v/>
      </c>
      <c r="W16" s="18" t="s">
        <v>172</v>
      </c>
      <c r="X16" s="9" t="str">
        <f>IF(ISBLANK($E16)=TRUE,"",IF($E16=W16,2,0))</f>
        <v/>
      </c>
      <c r="Y16" s="18" t="s">
        <v>40</v>
      </c>
      <c r="Z16" s="9" t="str">
        <f>IF(ISBLANK($E16)=TRUE,"",IF($E16=Y16,2,0))</f>
        <v/>
      </c>
      <c r="AA16" s="18" t="s">
        <v>21</v>
      </c>
      <c r="AB16" s="9" t="str">
        <f>IF(ISBLANK($E16)=TRUE,"",IF($E16=AA16,2,0))</f>
        <v/>
      </c>
      <c r="AC16" s="18" t="s">
        <v>172</v>
      </c>
      <c r="AD16" s="9" t="str">
        <f>IF(ISBLANK($E16)=TRUE,"",IF($E16=AC16,2,0))</f>
        <v/>
      </c>
      <c r="AE16" s="18" t="s">
        <v>172</v>
      </c>
      <c r="AF16" s="9" t="str">
        <f>IF(ISBLANK($E16)=TRUE,"",IF($E16=AE16,2,0))</f>
        <v/>
      </c>
      <c r="AG16" s="18" t="s">
        <v>172</v>
      </c>
      <c r="AH16" s="9" t="str">
        <f>IF(ISBLANK($E16)=TRUE,"",IF($E16=AG16,2,0))</f>
        <v/>
      </c>
      <c r="AI16" s="18" t="s">
        <v>172</v>
      </c>
      <c r="AJ16" s="9" t="str">
        <f>IF(ISBLANK($E16)=TRUE,"",IF($E16=AI16,2,0))</f>
        <v/>
      </c>
      <c r="AK16" s="18" t="s">
        <v>172</v>
      </c>
      <c r="AL16" s="9" t="str">
        <f>IF(ISBLANK($E16)=TRUE,"",IF($E16=AK16,2,0))</f>
        <v/>
      </c>
      <c r="AM16" s="18" t="s">
        <v>190</v>
      </c>
      <c r="AN16" s="9" t="str">
        <f>IF(ISBLANK($E16)=TRUE,"",IF($E16=AM16,2,0))</f>
        <v/>
      </c>
      <c r="AO16" s="18" t="s">
        <v>41</v>
      </c>
      <c r="AP16" s="9" t="str">
        <f>IF(ISBLANK($E16)=TRUE,"",IF($E16=AO16,2,0))</f>
        <v/>
      </c>
      <c r="AQ16" s="18" t="s">
        <v>28</v>
      </c>
      <c r="AR16" s="9" t="str">
        <f>IF(ISBLANK($E16)=TRUE,"",IF($E16=AQ16,2,0))</f>
        <v/>
      </c>
      <c r="AS16" s="18" t="s">
        <v>21</v>
      </c>
      <c r="AT16" s="9" t="str">
        <f>IF(ISBLANK($E16)=TRUE,"",IF($E16=AS16,2,0))</f>
        <v/>
      </c>
      <c r="AU16" s="18" t="s">
        <v>21</v>
      </c>
      <c r="AV16" s="9" t="str">
        <f>IF(ISBLANK($E16)=TRUE,"",IF($E16=AU16,2,0))</f>
        <v/>
      </c>
      <c r="AW16" s="18" t="s">
        <v>172</v>
      </c>
      <c r="AX16" s="9" t="str">
        <f>IF(ISBLANK($E16)=TRUE,"",IF($E16=AW16,2,0))</f>
        <v/>
      </c>
      <c r="AY16" s="18" t="s">
        <v>172</v>
      </c>
      <c r="AZ16" s="9" t="str">
        <f>IF(ISBLANK($E16)=TRUE,"",IF($E16=AY16,2,0))</f>
        <v/>
      </c>
      <c r="BA16" s="18" t="s">
        <v>172</v>
      </c>
      <c r="BB16" s="9" t="str">
        <f>IF(ISBLANK($E16)=TRUE,"",IF($E16=BA16,2,0))</f>
        <v/>
      </c>
      <c r="BC16" s="18" t="s">
        <v>28</v>
      </c>
      <c r="BD16" s="9" t="str">
        <f>IF(ISBLANK($E16)=TRUE,"",IF($E16=BC16,2,0))</f>
        <v/>
      </c>
      <c r="BE16" s="18" t="s">
        <v>21</v>
      </c>
      <c r="BF16" s="9" t="str">
        <f>IF(ISBLANK($E16)=TRUE,"",IF($E16=BE16,2,0))</f>
        <v/>
      </c>
    </row>
    <row r="17" spans="2:58" x14ac:dyDescent="0.3">
      <c r="B17" s="38" t="s">
        <v>95</v>
      </c>
      <c r="C17" s="21" t="s">
        <v>110</v>
      </c>
      <c r="D17" s="15" t="s">
        <v>83</v>
      </c>
      <c r="E17" s="235"/>
      <c r="F17" s="236"/>
      <c r="G17" s="18" t="s">
        <v>201</v>
      </c>
      <c r="H17" s="9" t="str">
        <f>IF(ISBLANK($E17)=TRUE,"",IF($E17=G17,4,0))</f>
        <v/>
      </c>
      <c r="I17" s="18" t="s">
        <v>201</v>
      </c>
      <c r="J17" s="9" t="str">
        <f>IF(ISBLANK($E17)=TRUE,"",IF($E17=I17,4,0))</f>
        <v/>
      </c>
      <c r="K17" s="18" t="s">
        <v>236</v>
      </c>
      <c r="L17" s="9" t="str">
        <f>IF(ISBLANK($E17)=TRUE,"",IF($E17=K17,4,0))</f>
        <v/>
      </c>
      <c r="M17" s="18" t="s">
        <v>235</v>
      </c>
      <c r="N17" s="9" t="str">
        <f>IF(ISBLANK($E17)=TRUE,"",IF($E17=M17,4,0))</f>
        <v/>
      </c>
      <c r="O17" s="18" t="s">
        <v>226</v>
      </c>
      <c r="P17" s="9" t="str">
        <f>IF(ISBLANK($E17)=TRUE,"",IF($E17=O17,4,0))</f>
        <v/>
      </c>
      <c r="Q17" s="18" t="s">
        <v>201</v>
      </c>
      <c r="R17" s="9" t="str">
        <f>IF(ISBLANK($E17)=TRUE,"",IF($E17=Q17,4,0))</f>
        <v/>
      </c>
      <c r="S17" s="18" t="s">
        <v>173</v>
      </c>
      <c r="T17" s="9" t="str">
        <f>IF(ISBLANK($E17)=TRUE,"",IF($E17=S17,4,0))</f>
        <v/>
      </c>
      <c r="U17" s="18" t="s">
        <v>225</v>
      </c>
      <c r="V17" s="9" t="str">
        <f>IF(ISBLANK($E17)=TRUE,"",IF($E17=U17,4,0))</f>
        <v/>
      </c>
      <c r="W17" s="18" t="s">
        <v>225</v>
      </c>
      <c r="X17" s="9" t="str">
        <f>IF(ISBLANK($E17)=TRUE,"",IF($E17=W17,4,0))</f>
        <v/>
      </c>
      <c r="Y17" s="18" t="s">
        <v>227</v>
      </c>
      <c r="Z17" s="9" t="str">
        <f>IF(ISBLANK($E17)=TRUE,"",IF($E17=Y17,4,0))</f>
        <v/>
      </c>
      <c r="AA17" s="18" t="s">
        <v>225</v>
      </c>
      <c r="AB17" s="9" t="str">
        <f>IF(ISBLANK($E17)=TRUE,"",IF($E17=AA17,4,0))</f>
        <v/>
      </c>
      <c r="AC17" s="18" t="s">
        <v>228</v>
      </c>
      <c r="AD17" s="9" t="str">
        <f>IF(ISBLANK($E17)=TRUE,"",IF($E17=AC17,4,0))</f>
        <v/>
      </c>
      <c r="AE17" s="18" t="s">
        <v>229</v>
      </c>
      <c r="AF17" s="9" t="str">
        <f>IF(ISBLANK($E17)=TRUE,"",IF($E17=AE17,4,0))</f>
        <v/>
      </c>
      <c r="AG17" s="18" t="s">
        <v>230</v>
      </c>
      <c r="AH17" s="9" t="str">
        <f>IF(ISBLANK($E17)=TRUE,"",IF($E17=AG17,4,0))</f>
        <v/>
      </c>
      <c r="AI17" s="18" t="s">
        <v>231</v>
      </c>
      <c r="AJ17" s="9" t="str">
        <f>IF(ISBLANK($E17)=TRUE,"",IF($E17=AI17,4,0))</f>
        <v/>
      </c>
      <c r="AK17" s="18" t="s">
        <v>201</v>
      </c>
      <c r="AL17" s="9" t="str">
        <f>IF(ISBLANK($E17)=TRUE,"",IF($E17=AK17,4,0))</f>
        <v/>
      </c>
      <c r="AM17" s="18" t="s">
        <v>232</v>
      </c>
      <c r="AN17" s="9" t="str">
        <f>IF(ISBLANK($E17)=TRUE,"",IF($E17=AM17,4,0))</f>
        <v/>
      </c>
      <c r="AO17" s="18" t="s">
        <v>231</v>
      </c>
      <c r="AP17" s="9" t="str">
        <f>IF(ISBLANK($E17)=TRUE,"",IF($E17=AO17,4,0))</f>
        <v/>
      </c>
      <c r="AQ17" s="18" t="s">
        <v>201</v>
      </c>
      <c r="AR17" s="9" t="str">
        <f>IF(ISBLANK($E17)=TRUE,"",IF($E17=AQ17,4,0))</f>
        <v/>
      </c>
      <c r="AS17" s="18" t="s">
        <v>227</v>
      </c>
      <c r="AT17" s="9" t="str">
        <f>IF(ISBLANK($E17)=TRUE,"",IF($E17=AS17,4,0))</f>
        <v/>
      </c>
      <c r="AU17" s="18" t="s">
        <v>201</v>
      </c>
      <c r="AV17" s="9" t="str">
        <f>IF(ISBLANK($E17)=TRUE,"",IF($E17=AU17,4,0))</f>
        <v/>
      </c>
      <c r="AW17" s="18" t="s">
        <v>201</v>
      </c>
      <c r="AX17" s="9" t="str">
        <f>IF(ISBLANK($E17)=TRUE,"",IF($E17=AW17,4,0))</f>
        <v/>
      </c>
      <c r="AY17" s="18" t="s">
        <v>201</v>
      </c>
      <c r="AZ17" s="9" t="str">
        <f>IF(ISBLANK($E17)=TRUE,"",IF($E17=AY17,4,0))</f>
        <v/>
      </c>
      <c r="BA17" s="18" t="s">
        <v>225</v>
      </c>
      <c r="BB17" s="9" t="str">
        <f>IF(ISBLANK($E17)=TRUE,"",IF($E17=BA17,4,0))</f>
        <v/>
      </c>
      <c r="BC17" s="18" t="s">
        <v>233</v>
      </c>
      <c r="BD17" s="9" t="str">
        <f>IF(ISBLANK($E17)=TRUE,"",IF($E17=BC17,4,0))</f>
        <v/>
      </c>
      <c r="BE17" s="18" t="s">
        <v>242</v>
      </c>
      <c r="BF17" s="9" t="str">
        <f>IF(ISBLANK($E17)=TRUE,"",IF($E17=BE17,4,0))</f>
        <v/>
      </c>
    </row>
    <row r="18" spans="2:58" x14ac:dyDescent="0.3">
      <c r="B18" s="38" t="s">
        <v>96</v>
      </c>
      <c r="C18" s="21" t="s">
        <v>111</v>
      </c>
      <c r="D18" s="15" t="s">
        <v>82</v>
      </c>
      <c r="E18" s="235"/>
      <c r="F18" s="236"/>
      <c r="G18" s="18" t="s">
        <v>32</v>
      </c>
      <c r="H18" s="9" t="str">
        <f>IF(ISBLANK($E18)=TRUE,"",IF($E18=G18,2,0))</f>
        <v/>
      </c>
      <c r="I18" s="18" t="s">
        <v>25</v>
      </c>
      <c r="J18" s="9" t="str">
        <f>IF(ISBLANK($E18)=TRUE,"",IF($E18=I18,2,0))</f>
        <v/>
      </c>
      <c r="K18" s="18" t="s">
        <v>32</v>
      </c>
      <c r="L18" s="9" t="str">
        <f>IF(ISBLANK($E18)=TRUE,"",IF($E18=K18,2,0))</f>
        <v/>
      </c>
      <c r="M18" s="18" t="s">
        <v>32</v>
      </c>
      <c r="N18" s="9" t="str">
        <f>IF(ISBLANK($E18)=TRUE,"",IF($E18=M18,2,0))</f>
        <v/>
      </c>
      <c r="O18" s="18" t="s">
        <v>25</v>
      </c>
      <c r="P18" s="9" t="str">
        <f>IF(ISBLANK($E18)=TRUE,"",IF($E18=O18,2,0))</f>
        <v/>
      </c>
      <c r="Q18" s="18" t="s">
        <v>25</v>
      </c>
      <c r="R18" s="9" t="str">
        <f>IF(ISBLANK($E18)=TRUE,"",IF($E18=Q18,2,0))</f>
        <v/>
      </c>
      <c r="S18" s="18" t="s">
        <v>25</v>
      </c>
      <c r="T18" s="9" t="str">
        <f>IF(ISBLANK($E18)=TRUE,"",IF($E18=S18,2,0))</f>
        <v/>
      </c>
      <c r="U18" s="18" t="s">
        <v>32</v>
      </c>
      <c r="V18" s="9" t="str">
        <f>IF(ISBLANK($E18)=TRUE,"",IF($E18=U18,2,0))</f>
        <v/>
      </c>
      <c r="W18" s="18" t="s">
        <v>32</v>
      </c>
      <c r="X18" s="9" t="str">
        <f>IF(ISBLANK($E18)=TRUE,"",IF($E18=W18,2,0))</f>
        <v/>
      </c>
      <c r="Y18" s="18" t="s">
        <v>25</v>
      </c>
      <c r="Z18" s="9" t="str">
        <f>IF(ISBLANK($E18)=TRUE,"",IF($E18=Y18,2,0))</f>
        <v/>
      </c>
      <c r="AA18" s="18" t="s">
        <v>32</v>
      </c>
      <c r="AB18" s="9" t="str">
        <f>IF(ISBLANK($E18)=TRUE,"",IF($E18=AA18,2,0))</f>
        <v/>
      </c>
      <c r="AC18" s="18" t="s">
        <v>32</v>
      </c>
      <c r="AD18" s="9" t="str">
        <f>IF(ISBLANK($E18)=TRUE,"",IF($E18=AC18,2,0))</f>
        <v/>
      </c>
      <c r="AE18" s="18" t="s">
        <v>32</v>
      </c>
      <c r="AF18" s="9" t="str">
        <f>IF(ISBLANK($E18)=TRUE,"",IF($E18=AE18,2,0))</f>
        <v/>
      </c>
      <c r="AG18" s="18" t="s">
        <v>32</v>
      </c>
      <c r="AH18" s="9" t="str">
        <f>IF(ISBLANK($E18)=TRUE,"",IF($E18=AG18,2,0))</f>
        <v/>
      </c>
      <c r="AI18" s="18" t="s">
        <v>32</v>
      </c>
      <c r="AJ18" s="9" t="str">
        <f>IF(ISBLANK($E18)=TRUE,"",IF($E18=AI18,2,0))</f>
        <v/>
      </c>
      <c r="AK18" s="18" t="s">
        <v>32</v>
      </c>
      <c r="AL18" s="9" t="str">
        <f>IF(ISBLANK($E18)=TRUE,"",IF($E18=AK18,2,0))</f>
        <v/>
      </c>
      <c r="AM18" s="18" t="s">
        <v>32</v>
      </c>
      <c r="AN18" s="9" t="str">
        <f>IF(ISBLANK($E18)=TRUE,"",IF($E18=AM18,2,0))</f>
        <v/>
      </c>
      <c r="AO18" s="18" t="s">
        <v>25</v>
      </c>
      <c r="AP18" s="9" t="str">
        <f>IF(ISBLANK($E18)=TRUE,"",IF($E18=AO18,2,0))</f>
        <v/>
      </c>
      <c r="AQ18" s="18" t="s">
        <v>32</v>
      </c>
      <c r="AR18" s="9" t="str">
        <f>IF(ISBLANK($E18)=TRUE,"",IF($E18=AQ18,2,0))</f>
        <v/>
      </c>
      <c r="AS18" s="18" t="s">
        <v>32</v>
      </c>
      <c r="AT18" s="9" t="str">
        <f>IF(ISBLANK($E18)=TRUE,"",IF($E18=AS18,2,0))</f>
        <v/>
      </c>
      <c r="AU18" s="18" t="s">
        <v>32</v>
      </c>
      <c r="AV18" s="9" t="str">
        <f>IF(ISBLANK($E18)=TRUE,"",IF($E18=AU18,2,0))</f>
        <v/>
      </c>
      <c r="AW18" s="18" t="s">
        <v>32</v>
      </c>
      <c r="AX18" s="9" t="str">
        <f>IF(ISBLANK($E18)=TRUE,"",IF($E18=AW18,2,0))</f>
        <v/>
      </c>
      <c r="AY18" s="18" t="s">
        <v>32</v>
      </c>
      <c r="AZ18" s="9" t="str">
        <f>IF(ISBLANK($E18)=TRUE,"",IF($E18=AY18,2,0))</f>
        <v/>
      </c>
      <c r="BA18" s="18" t="s">
        <v>32</v>
      </c>
      <c r="BB18" s="9" t="str">
        <f>IF(ISBLANK($E18)=TRUE,"",IF($E18=BA18,2,0))</f>
        <v/>
      </c>
      <c r="BC18" s="18" t="s">
        <v>32</v>
      </c>
      <c r="BD18" s="9" t="str">
        <f>IF(ISBLANK($E18)=TRUE,"",IF($E18=BC18,2,0))</f>
        <v/>
      </c>
      <c r="BE18" s="18" t="s">
        <v>34</v>
      </c>
      <c r="BF18" s="9" t="str">
        <f>IF(ISBLANK($E18)=TRUE,"",IF($E18=BE18,2,0))</f>
        <v/>
      </c>
    </row>
    <row r="19" spans="2:58" x14ac:dyDescent="0.3">
      <c r="B19" s="38" t="s">
        <v>97</v>
      </c>
      <c r="C19" s="21" t="s">
        <v>112</v>
      </c>
      <c r="D19" s="15" t="s">
        <v>84</v>
      </c>
      <c r="E19" s="235"/>
      <c r="F19" s="236"/>
      <c r="G19" s="18" t="s">
        <v>137</v>
      </c>
      <c r="H19" s="9" t="str">
        <f>IF(ISBLANK($E19)=TRUE,"",IF($E19=G19,1,0))</f>
        <v/>
      </c>
      <c r="I19" s="18" t="s">
        <v>174</v>
      </c>
      <c r="J19" s="9" t="str">
        <f>IF(ISBLANK($E19)=TRUE,"",IF($E19=I19,1,0))</f>
        <v/>
      </c>
      <c r="K19" s="18" t="s">
        <v>137</v>
      </c>
      <c r="L19" s="9" t="str">
        <f>IF(ISBLANK($E19)=TRUE,"",IF($E19=K19,1,0))</f>
        <v/>
      </c>
      <c r="M19" s="18" t="s">
        <v>174</v>
      </c>
      <c r="N19" s="9" t="str">
        <f>IF(ISBLANK($E19)=TRUE,"",IF($E19=M19,1,0))</f>
        <v/>
      </c>
      <c r="O19" s="18" t="s">
        <v>137</v>
      </c>
      <c r="P19" s="9" t="str">
        <f>IF(ISBLANK($E19)=TRUE,"",IF($E19=O19,1,0))</f>
        <v/>
      </c>
      <c r="Q19" s="18" t="s">
        <v>174</v>
      </c>
      <c r="R19" s="9" t="str">
        <f>IF(ISBLANK($E19)=TRUE,"",IF($E19=Q19,1,0))</f>
        <v/>
      </c>
      <c r="S19" s="18" t="s">
        <v>174</v>
      </c>
      <c r="T19" s="9" t="str">
        <f>IF(ISBLANK($E19)=TRUE,"",IF($E19=S19,1,0))</f>
        <v/>
      </c>
      <c r="U19" s="18" t="s">
        <v>137</v>
      </c>
      <c r="V19" s="9" t="str">
        <f>IF(ISBLANK($E19)=TRUE,"",IF($E19=U19,1,0))</f>
        <v/>
      </c>
      <c r="W19" s="18" t="s">
        <v>137</v>
      </c>
      <c r="X19" s="9" t="str">
        <f>IF(ISBLANK($E19)=TRUE,"",IF($E19=W19,1,0))</f>
        <v/>
      </c>
      <c r="Y19" s="18" t="s">
        <v>174</v>
      </c>
      <c r="Z19" s="9" t="str">
        <f>IF(ISBLANK($E19)=TRUE,"",IF($E19=Y19,1,0))</f>
        <v/>
      </c>
      <c r="AA19" s="18" t="s">
        <v>137</v>
      </c>
      <c r="AB19" s="9" t="str">
        <f>IF(ISBLANK($E19)=TRUE,"",IF($E19=AA19,1,0))</f>
        <v/>
      </c>
      <c r="AC19" s="18" t="s">
        <v>137</v>
      </c>
      <c r="AD19" s="9" t="str">
        <f>IF(ISBLANK($E19)=TRUE,"",IF($E19=AC19,1,0))</f>
        <v/>
      </c>
      <c r="AE19" s="18" t="s">
        <v>137</v>
      </c>
      <c r="AF19" s="9" t="str">
        <f>IF(ISBLANK($E19)=TRUE,"",IF($E19=AE19,1,0))</f>
        <v/>
      </c>
      <c r="AG19" s="18" t="s">
        <v>137</v>
      </c>
      <c r="AH19" s="9" t="str">
        <f>IF(ISBLANK($E19)=TRUE,"",IF($E19=AG19,1,0))</f>
        <v/>
      </c>
      <c r="AI19" s="18" t="s">
        <v>137</v>
      </c>
      <c r="AJ19" s="9" t="str">
        <f>IF(ISBLANK($E19)=TRUE,"",IF($E19=AI19,1,0))</f>
        <v/>
      </c>
      <c r="AK19" s="18" t="s">
        <v>137</v>
      </c>
      <c r="AL19" s="9" t="str">
        <f>IF(ISBLANK($E19)=TRUE,"",IF($E19=AK19,1,0))</f>
        <v/>
      </c>
      <c r="AM19" s="18" t="s">
        <v>137</v>
      </c>
      <c r="AN19" s="9" t="str">
        <f>IF(ISBLANK($E19)=TRUE,"",IF($E19=AM19,1,0))</f>
        <v/>
      </c>
      <c r="AO19" s="18" t="s">
        <v>137</v>
      </c>
      <c r="AP19" s="9" t="str">
        <f>IF(ISBLANK($E19)=TRUE,"",IF($E19=AO19,1,0))</f>
        <v/>
      </c>
      <c r="AQ19" s="18" t="s">
        <v>137</v>
      </c>
      <c r="AR19" s="9" t="str">
        <f>IF(ISBLANK($E19)=TRUE,"",IF($E19=AQ19,1,0))</f>
        <v/>
      </c>
      <c r="AS19" s="18"/>
      <c r="AT19" s="9" t="str">
        <f>IF(ISBLANK($E19)=TRUE,"",IF($E19=AS19,1,0))</f>
        <v/>
      </c>
      <c r="AU19" s="18"/>
      <c r="AV19" s="9" t="str">
        <f>IF(ISBLANK($E19)=TRUE,"",IF($E19=AU19,1,0))</f>
        <v/>
      </c>
      <c r="AW19" s="18" t="s">
        <v>137</v>
      </c>
      <c r="AX19" s="9" t="str">
        <f>IF(ISBLANK($E19)=TRUE,"",IF($E19=AW19,1,0))</f>
        <v/>
      </c>
      <c r="AY19" s="18"/>
      <c r="AZ19" s="9" t="str">
        <f>IF(ISBLANK($E19)=TRUE,"",IF($E19=AY19,1,0))</f>
        <v/>
      </c>
      <c r="BA19" s="18" t="s">
        <v>137</v>
      </c>
      <c r="BB19" s="9" t="str">
        <f>IF(ISBLANK($E19)=TRUE,"",IF($E19=BA19,1,0))</f>
        <v/>
      </c>
      <c r="BC19" s="18" t="s">
        <v>215</v>
      </c>
      <c r="BD19" s="9" t="str">
        <f>IF(ISBLANK($E19)=TRUE,"",IF($E19=BC19,1,0))</f>
        <v/>
      </c>
      <c r="BE19" s="18" t="s">
        <v>240</v>
      </c>
      <c r="BF19" s="9" t="str">
        <f>IF(ISBLANK($E19)=TRUE,"",IF($E19=BE19,1,0))</f>
        <v/>
      </c>
    </row>
    <row r="20" spans="2:58" x14ac:dyDescent="0.3">
      <c r="B20" s="38" t="s">
        <v>98</v>
      </c>
      <c r="C20" s="21" t="s">
        <v>113</v>
      </c>
      <c r="D20" s="15" t="s">
        <v>82</v>
      </c>
      <c r="E20" s="235"/>
      <c r="F20" s="236"/>
      <c r="G20" s="18" t="s">
        <v>20</v>
      </c>
      <c r="H20" s="9" t="str">
        <f>IF(ISBLANK($E20)=TRUE,"",IF($E20=G20,2,0))</f>
        <v/>
      </c>
      <c r="I20" s="18" t="s">
        <v>20</v>
      </c>
      <c r="J20" s="9" t="str">
        <f>IF(ISBLANK($E20)=TRUE,"",IF($E20=I20,2,0))</f>
        <v/>
      </c>
      <c r="K20" s="18" t="s">
        <v>20</v>
      </c>
      <c r="L20" s="9" t="str">
        <f>IF(ISBLANK($E20)=TRUE,"",IF($E20=K20,2,0))</f>
        <v/>
      </c>
      <c r="M20" s="18" t="s">
        <v>20</v>
      </c>
      <c r="N20" s="9" t="str">
        <f>IF(ISBLANK($E20)=TRUE,"",IF($E20=M20,2,0))</f>
        <v/>
      </c>
      <c r="O20" s="18" t="s">
        <v>184</v>
      </c>
      <c r="P20" s="9" t="str">
        <f>IF(ISBLANK($E20)=TRUE,"",IF($E20=O20,2,0))</f>
        <v/>
      </c>
      <c r="Q20" s="18" t="s">
        <v>20</v>
      </c>
      <c r="R20" s="9" t="str">
        <f>IF(ISBLANK($E20)=TRUE,"",IF($E20=Q20,2,0))</f>
        <v/>
      </c>
      <c r="S20" s="18" t="s">
        <v>20</v>
      </c>
      <c r="T20" s="9" t="str">
        <f>IF(ISBLANK($E20)=TRUE,"",IF($E20=S20,2,0))</f>
        <v/>
      </c>
      <c r="U20" s="18" t="s">
        <v>45</v>
      </c>
      <c r="V20" s="9" t="str">
        <f>IF(ISBLANK($E20)=TRUE,"",IF($E20=U20,2,0))</f>
        <v/>
      </c>
      <c r="W20" s="18" t="s">
        <v>45</v>
      </c>
      <c r="X20" s="9" t="str">
        <f>IF(ISBLANK($E20)=TRUE,"",IF($E20=W20,2,0))</f>
        <v/>
      </c>
      <c r="Y20" s="18" t="s">
        <v>20</v>
      </c>
      <c r="Z20" s="9" t="str">
        <f>IF(ISBLANK($E20)=TRUE,"",IF($E20=Y20,2,0))</f>
        <v/>
      </c>
      <c r="AA20" s="18" t="s">
        <v>20</v>
      </c>
      <c r="AB20" s="9" t="str">
        <f>IF(ISBLANK($E20)=TRUE,"",IF($E20=AA20,2,0))</f>
        <v/>
      </c>
      <c r="AC20" s="18" t="s">
        <v>20</v>
      </c>
      <c r="AD20" s="9" t="str">
        <f>IF(ISBLANK($E20)=TRUE,"",IF($E20=AC20,2,0))</f>
        <v/>
      </c>
      <c r="AE20" s="18" t="s">
        <v>29</v>
      </c>
      <c r="AF20" s="9" t="str">
        <f>IF(ISBLANK($E20)=TRUE,"",IF($E20=AE20,2,0))</f>
        <v/>
      </c>
      <c r="AG20" s="18" t="s">
        <v>20</v>
      </c>
      <c r="AH20" s="9" t="str">
        <f>IF(ISBLANK($E20)=TRUE,"",IF($E20=AG20,2,0))</f>
        <v/>
      </c>
      <c r="AI20" s="18" t="s">
        <v>20</v>
      </c>
      <c r="AJ20" s="9" t="str">
        <f>IF(ISBLANK($E20)=TRUE,"",IF($E20=AI20,2,0))</f>
        <v/>
      </c>
      <c r="AK20" s="18" t="s">
        <v>20</v>
      </c>
      <c r="AL20" s="9" t="str">
        <f>IF(ISBLANK($E20)=TRUE,"",IF($E20=AK20,2,0))</f>
        <v/>
      </c>
      <c r="AM20" s="18" t="s">
        <v>20</v>
      </c>
      <c r="AN20" s="9" t="str">
        <f>IF(ISBLANK($E20)=TRUE,"",IF($E20=AM20,2,0))</f>
        <v/>
      </c>
      <c r="AO20" s="18" t="s">
        <v>20</v>
      </c>
      <c r="AP20" s="9" t="str">
        <f>IF(ISBLANK($E20)=TRUE,"",IF($E20=AO20,2,0))</f>
        <v/>
      </c>
      <c r="AQ20" s="18" t="s">
        <v>20</v>
      </c>
      <c r="AR20" s="9" t="str">
        <f>IF(ISBLANK($E20)=TRUE,"",IF($E20=AQ20,2,0))</f>
        <v/>
      </c>
      <c r="AS20" s="18" t="s">
        <v>20</v>
      </c>
      <c r="AT20" s="9" t="str">
        <f>IF(ISBLANK($E20)=TRUE,"",IF($E20=AS20,2,0))</f>
        <v/>
      </c>
      <c r="AU20" s="18" t="s">
        <v>20</v>
      </c>
      <c r="AV20" s="9" t="str">
        <f>IF(ISBLANK($E20)=TRUE,"",IF($E20=AU20,2,0))</f>
        <v/>
      </c>
      <c r="AW20" s="18" t="s">
        <v>20</v>
      </c>
      <c r="AX20" s="9" t="str">
        <f>IF(ISBLANK($E20)=TRUE,"",IF($E20=AW20,2,0))</f>
        <v/>
      </c>
      <c r="AY20" s="18" t="s">
        <v>20</v>
      </c>
      <c r="AZ20" s="9" t="str">
        <f>IF(ISBLANK($E20)=TRUE,"",IF($E20=AY20,2,0))</f>
        <v/>
      </c>
      <c r="BA20" s="18" t="s">
        <v>20</v>
      </c>
      <c r="BB20" s="9" t="str">
        <f>IF(ISBLANK($E20)=TRUE,"",IF($E20=BA20,2,0))</f>
        <v/>
      </c>
      <c r="BC20" s="18" t="s">
        <v>184</v>
      </c>
      <c r="BD20" s="9" t="str">
        <f>IF(ISBLANK($E20)=TRUE,"",IF($E20=BC20,2,0))</f>
        <v/>
      </c>
      <c r="BE20" s="18" t="s">
        <v>20</v>
      </c>
      <c r="BF20" s="9" t="str">
        <f>IF(ISBLANK($E20)=TRUE,"",IF($E20=BE20,2,0))</f>
        <v/>
      </c>
    </row>
    <row r="21" spans="2:58" x14ac:dyDescent="0.3">
      <c r="B21" s="38" t="s">
        <v>99</v>
      </c>
      <c r="C21" s="21" t="s">
        <v>114</v>
      </c>
      <c r="D21" s="15" t="s">
        <v>81</v>
      </c>
      <c r="E21" s="235"/>
      <c r="F21" s="236"/>
      <c r="G21" s="18" t="s">
        <v>204</v>
      </c>
      <c r="H21" s="9" t="str">
        <f>IF(ISBLANK($E21)=TRUE,"",IF(ISNUMBER(SEARCH(G21,$E21)),3,0))</f>
        <v/>
      </c>
      <c r="I21" s="18" t="s">
        <v>212</v>
      </c>
      <c r="J21" s="9" t="str">
        <f>IF(ISBLANK($E21)=TRUE,"",IF(ISNUMBER(SEARCH(I21,$E21)),3,0))</f>
        <v/>
      </c>
      <c r="K21" s="18" t="s">
        <v>179</v>
      </c>
      <c r="L21" s="9" t="str">
        <f>IF(ISBLANK($E21)=TRUE,"",IF(ISNUMBER(SEARCH(K21,$E21)),3,0))</f>
        <v/>
      </c>
      <c r="M21" s="18" t="s">
        <v>178</v>
      </c>
      <c r="N21" s="9" t="str">
        <f>IF(ISBLANK($E21)=TRUE,"",IF(ISNUMBER(SEARCH(M21,$E21)),3,0))</f>
        <v/>
      </c>
      <c r="O21" s="18" t="s">
        <v>185</v>
      </c>
      <c r="P21" s="9" t="str">
        <f>IF(ISBLANK($E21)=TRUE,"",IF(ISNUMBER(SEARCH(O21,$E21)),3,0))</f>
        <v/>
      </c>
      <c r="Q21" s="18" t="s">
        <v>209</v>
      </c>
      <c r="R21" s="9" t="str">
        <f>IF(ISBLANK($E21)=TRUE,"",IF(ISNUMBER(SEARCH(Q21,$E21)),3,0))</f>
        <v/>
      </c>
      <c r="S21" s="18" t="s">
        <v>175</v>
      </c>
      <c r="T21" s="9" t="str">
        <f>IF(ISBLANK($E21)=TRUE,"",IF(ISNUMBER(SEARCH(S21,$E21)),3,0))</f>
        <v/>
      </c>
      <c r="U21" s="18" t="s">
        <v>185</v>
      </c>
      <c r="V21" s="9" t="str">
        <f>IF(ISBLANK($E21)=TRUE,"",IF(ISNUMBER(SEARCH(U21,$E21)),3,0))</f>
        <v/>
      </c>
      <c r="W21" s="18" t="s">
        <v>196</v>
      </c>
      <c r="X21" s="9" t="str">
        <f>IF(ISBLANK($E21)=TRUE,"",IF(ISNUMBER(SEARCH(W21,$E21)),3,0))</f>
        <v/>
      </c>
      <c r="Y21" s="18" t="s">
        <v>219</v>
      </c>
      <c r="Z21" s="9" t="str">
        <f>IF(ISBLANK($E21)=TRUE,"",IF(ISNUMBER(SEARCH(Y21,$E21)),3,0))</f>
        <v/>
      </c>
      <c r="AA21" s="18" t="s">
        <v>219</v>
      </c>
      <c r="AB21" s="9" t="str">
        <f>IF(ISBLANK($E21)=TRUE,"",IF(ISNUMBER(SEARCH(AA21,$E21)),3,0))</f>
        <v/>
      </c>
      <c r="AC21" s="18"/>
      <c r="AD21" s="9" t="str">
        <f>IF(ISBLANK($E21)=TRUE,"",IF(ISNUMBER(SEARCH(AC21,$E21)),3,0))</f>
        <v/>
      </c>
      <c r="AE21" s="18" t="s">
        <v>178</v>
      </c>
      <c r="AF21" s="9" t="str">
        <f>IF(ISBLANK($E21)=TRUE,"",IF(ISNUMBER(SEARCH(AE21,$E21)),3,0))</f>
        <v/>
      </c>
      <c r="AG21" s="18" t="s">
        <v>221</v>
      </c>
      <c r="AH21" s="9" t="str">
        <f>IF(ISBLANK($E21)=TRUE,"",IF(ISNUMBER(SEARCH(AG21,$E21)),3,0))</f>
        <v/>
      </c>
      <c r="AI21" s="18" t="s">
        <v>192</v>
      </c>
      <c r="AJ21" s="9" t="str">
        <f>IF(ISBLANK($E21)=TRUE,"",IF(ISNUMBER(SEARCH(AI21,$E21)),3,0))</f>
        <v/>
      </c>
      <c r="AK21" s="18" t="s">
        <v>202</v>
      </c>
      <c r="AL21" s="9" t="str">
        <f>IF(ISBLANK($E21)=TRUE,"",IF(ISNUMBER(SEARCH(AK21,$E21)),3,0))</f>
        <v/>
      </c>
      <c r="AM21" s="18" t="s">
        <v>191</v>
      </c>
      <c r="AN21" s="9" t="str">
        <f>IF(ISBLANK($E21)=TRUE,"",IF(ISNUMBER(SEARCH(AM21,$E21)),3,0))</f>
        <v/>
      </c>
      <c r="AO21" s="18" t="s">
        <v>195</v>
      </c>
      <c r="AP21" s="9" t="str">
        <f>IF(ISBLANK($E21)=TRUE,"",IF(ISNUMBER(SEARCH(AO21,$E21)),3,0))</f>
        <v/>
      </c>
      <c r="AQ21" s="18" t="s">
        <v>207</v>
      </c>
      <c r="AR21" s="9" t="str">
        <f>IF(ISBLANK($E21)=TRUE,"",IF(ISNUMBER(SEARCH(AQ21,$E21)),3,0))</f>
        <v/>
      </c>
      <c r="AS21" s="18" t="s">
        <v>187</v>
      </c>
      <c r="AT21" s="9" t="str">
        <f>IF(ISBLANK($E21)=TRUE,"",IF(ISNUMBER(SEARCH(AS21,$E21)),3,0))</f>
        <v/>
      </c>
      <c r="AU21" s="18" t="s">
        <v>197</v>
      </c>
      <c r="AV21" s="9" t="str">
        <f>IF(ISBLANK($E21)=TRUE,"",IF(ISNUMBER(SEARCH(AU21,$E21)),3,0))</f>
        <v/>
      </c>
      <c r="AW21" s="18" t="s">
        <v>179</v>
      </c>
      <c r="AX21" s="9" t="str">
        <f>IF(ISBLANK($E21)=TRUE,"",IF(ISNUMBER(SEARCH(AW21,$E21)),3,0))</f>
        <v/>
      </c>
      <c r="AY21" s="18" t="s">
        <v>219</v>
      </c>
      <c r="AZ21" s="9" t="str">
        <f>IF(ISBLANK($E21)=TRUE,"",IF(ISNUMBER(SEARCH(AY21,$E21)),3,0))</f>
        <v/>
      </c>
      <c r="BA21" s="18" t="s">
        <v>234</v>
      </c>
      <c r="BB21" s="9" t="str">
        <f>IF(ISBLANK($E21)=TRUE,"",IF(ISNUMBER(SEARCH(BA21,$E21)),3,0))</f>
        <v/>
      </c>
      <c r="BC21" s="18" t="s">
        <v>216</v>
      </c>
      <c r="BD21" s="9" t="str">
        <f>IF(ISBLANK($E21)=TRUE,"",IF(ISNUMBER(SEARCH(BC21,$E21)),3,0))</f>
        <v/>
      </c>
      <c r="BE21" s="18" t="s">
        <v>196</v>
      </c>
      <c r="BF21" s="9" t="str">
        <f>IF(ISBLANK($E21)=TRUE,"",IF(ISNUMBER(SEARCH(BE21,$E21)),3,0))</f>
        <v/>
      </c>
    </row>
    <row r="22" spans="2:58" x14ac:dyDescent="0.3">
      <c r="B22" s="38" t="s">
        <v>100</v>
      </c>
      <c r="C22" s="21" t="s">
        <v>115</v>
      </c>
      <c r="D22" s="15" t="s">
        <v>84</v>
      </c>
      <c r="E22" s="235"/>
      <c r="F22" s="236"/>
      <c r="G22" s="18" t="s">
        <v>138</v>
      </c>
      <c r="H22" s="9" t="str">
        <f>IF(ISBLANK($E22)=TRUE,"",IF(ISNUMBER(SEARCH(G22,$E22)),1,0))</f>
        <v/>
      </c>
      <c r="I22" s="18" t="s">
        <v>177</v>
      </c>
      <c r="J22" s="9" t="str">
        <f>IF(ISBLANK($E22)=TRUE,"",IF(ISNUMBER(SEARCH(I22,$E22)),1,0))</f>
        <v/>
      </c>
      <c r="K22" s="18" t="s">
        <v>177</v>
      </c>
      <c r="L22" s="9" t="str">
        <f>IF(ISBLANK($E22)=TRUE,"",IF(ISNUMBER(SEARCH(K22,$E22)),1,0))</f>
        <v/>
      </c>
      <c r="M22" s="18" t="s">
        <v>138</v>
      </c>
      <c r="N22" s="9" t="str">
        <f>IF(ISBLANK($E22)=TRUE,"",IF(ISNUMBER(SEARCH(M22,$E22)),1,0))</f>
        <v/>
      </c>
      <c r="O22" s="18" t="s">
        <v>177</v>
      </c>
      <c r="P22" s="9" t="str">
        <f>IF(ISBLANK($E22)=TRUE,"",IF(ISNUMBER(SEARCH(O22,$E22)),1,0))</f>
        <v/>
      </c>
      <c r="Q22" s="18" t="s">
        <v>138</v>
      </c>
      <c r="R22" s="9" t="str">
        <f>IF(ISBLANK($E22)=TRUE,"",IF(ISNUMBER(SEARCH(Q22,$E22)),1,0))</f>
        <v/>
      </c>
      <c r="S22" s="18" t="s">
        <v>138</v>
      </c>
      <c r="T22" s="9" t="str">
        <f>IF(ISBLANK($E22)=TRUE,"",IF(ISNUMBER(SEARCH(S22,$E22)),1,0))</f>
        <v/>
      </c>
      <c r="U22" s="18" t="s">
        <v>177</v>
      </c>
      <c r="V22" s="9" t="str">
        <f>IF(ISBLANK($E22)=TRUE,"",IF(ISNUMBER(SEARCH(U22,$E22)),1,0))</f>
        <v/>
      </c>
      <c r="W22" s="18" t="s">
        <v>138</v>
      </c>
      <c r="X22" s="9" t="str">
        <f>IF(ISBLANK($E22)=TRUE,"",IF(ISNUMBER(SEARCH(W22,$E22)),1,0))</f>
        <v/>
      </c>
      <c r="Y22" s="18" t="s">
        <v>138</v>
      </c>
      <c r="Z22" s="9" t="str">
        <f>IF(ISBLANK($E22)=TRUE,"",IF(ISNUMBER(SEARCH(Y22,$E22)),1,0))</f>
        <v/>
      </c>
      <c r="AA22" s="18" t="s">
        <v>177</v>
      </c>
      <c r="AB22" s="9" t="str">
        <f>IF(ISBLANK($E22)=TRUE,"",IF(ISNUMBER(SEARCH(AA22,$E22)),1,0))</f>
        <v/>
      </c>
      <c r="AC22" s="18" t="s">
        <v>177</v>
      </c>
      <c r="AD22" s="9" t="str">
        <f>IF(ISBLANK($E22)=TRUE,"",IF(ISNUMBER(SEARCH(AC22,$E22)),1,0))</f>
        <v/>
      </c>
      <c r="AE22" s="18" t="s">
        <v>177</v>
      </c>
      <c r="AF22" s="9" t="str">
        <f>IF(ISBLANK($E22)=TRUE,"",IF(ISNUMBER(SEARCH(AE22,$E22)),1,0))</f>
        <v/>
      </c>
      <c r="AG22" s="18" t="s">
        <v>138</v>
      </c>
      <c r="AH22" s="9" t="str">
        <f>IF(ISBLANK($E22)=TRUE,"",IF(ISNUMBER(SEARCH(AG22,$E22)),1,0))</f>
        <v/>
      </c>
      <c r="AI22" s="18" t="s">
        <v>138</v>
      </c>
      <c r="AJ22" s="9" t="str">
        <f>IF(ISBLANK($E22)=TRUE,"",IF(ISNUMBER(SEARCH(AI22,$E22)),1,0))</f>
        <v/>
      </c>
      <c r="AK22" s="18" t="s">
        <v>177</v>
      </c>
      <c r="AL22" s="9" t="str">
        <f>IF(ISBLANK($E22)=TRUE,"",IF(ISNUMBER(SEARCH(AK22,$E22)),1,0))</f>
        <v/>
      </c>
      <c r="AM22" s="18" t="s">
        <v>177</v>
      </c>
      <c r="AN22" s="9" t="str">
        <f>IF(ISBLANK($E22)=TRUE,"",IF(ISNUMBER(SEARCH(AM22,$E22)),1,0))</f>
        <v/>
      </c>
      <c r="AO22" s="18" t="s">
        <v>138</v>
      </c>
      <c r="AP22" s="9" t="str">
        <f>IF(ISBLANK($E22)=TRUE,"",IF(ISNUMBER(SEARCH(AO22,$E22)),1,0))</f>
        <v/>
      </c>
      <c r="AQ22" s="18" t="s">
        <v>138</v>
      </c>
      <c r="AR22" s="9" t="str">
        <f>IF(ISBLANK($E22)=TRUE,"",IF(ISNUMBER(SEARCH(AQ22,$E22)),1,0))</f>
        <v/>
      </c>
      <c r="AS22" s="18" t="s">
        <v>138</v>
      </c>
      <c r="AT22" s="9" t="str">
        <f>IF(ISBLANK($E22)=TRUE,"",IF(ISNUMBER(SEARCH(AS22,$E22)),1,0))</f>
        <v/>
      </c>
      <c r="AU22" s="18" t="s">
        <v>138</v>
      </c>
      <c r="AV22" s="9" t="str">
        <f>IF(ISBLANK($E22)=TRUE,"",IF(ISNUMBER(SEARCH(AU22,$E22)),1,0))</f>
        <v/>
      </c>
      <c r="AW22" s="18" t="s">
        <v>177</v>
      </c>
      <c r="AX22" s="9" t="str">
        <f>IF(ISBLANK($E22)=TRUE,"",IF(ISNUMBER(SEARCH(AW22,$E22)),1,0))</f>
        <v/>
      </c>
      <c r="AY22" s="18" t="s">
        <v>138</v>
      </c>
      <c r="AZ22" s="9" t="str">
        <f>IF(ISBLANK($E22)=TRUE,"",IF(ISNUMBER(SEARCH(AY22,$E22)),1,0))</f>
        <v/>
      </c>
      <c r="BA22" s="18" t="s">
        <v>177</v>
      </c>
      <c r="BB22" s="9" t="str">
        <f>IF(ISBLANK($E22)=TRUE,"",IF(ISNUMBER(SEARCH(BA22,$E22)),1,0))</f>
        <v/>
      </c>
      <c r="BC22" s="18" t="s">
        <v>177</v>
      </c>
      <c r="BD22" s="9" t="str">
        <f>IF(ISBLANK($E22)=TRUE,"",IF(ISNUMBER(SEARCH(BC22,$E22)),1,0))</f>
        <v/>
      </c>
      <c r="BE22" s="18" t="s">
        <v>138</v>
      </c>
      <c r="BF22" s="9" t="str">
        <f>IF(ISBLANK($E22)=TRUE,"",IF(ISNUMBER(SEARCH(BE22,$E22)),1,0))</f>
        <v/>
      </c>
    </row>
    <row r="23" spans="2:58" ht="15" thickBot="1" x14ac:dyDescent="0.35">
      <c r="B23" s="39" t="s">
        <v>141</v>
      </c>
      <c r="C23" s="22" t="s">
        <v>139</v>
      </c>
      <c r="D23" s="16" t="s">
        <v>82</v>
      </c>
      <c r="E23" s="239"/>
      <c r="F23" s="240"/>
      <c r="G23" s="19" t="s">
        <v>176</v>
      </c>
      <c r="H23" s="10" t="str">
        <f>IF(ISBLANK($E23)=TRUE,"",IF($E23=G23,2,0))</f>
        <v/>
      </c>
      <c r="I23" s="19"/>
      <c r="J23" s="10" t="str">
        <f>IF(ISBLANK($E23)=TRUE,"",IF($E23=I23,2,0))</f>
        <v/>
      </c>
      <c r="K23" s="19" t="s">
        <v>180</v>
      </c>
      <c r="L23" s="10" t="str">
        <f>IF(ISBLANK($E23)=TRUE,"",IF($E23=K23,2,0))</f>
        <v/>
      </c>
      <c r="M23" s="19" t="s">
        <v>176</v>
      </c>
      <c r="N23" s="10" t="str">
        <f>IF(ISBLANK($E23)=TRUE,"",IF($E23=M23,2,0))</f>
        <v/>
      </c>
      <c r="O23" s="19" t="s">
        <v>176</v>
      </c>
      <c r="P23" s="10" t="str">
        <f>IF(ISBLANK($E23)=TRUE,"",IF($E23=O23,2,0))</f>
        <v/>
      </c>
      <c r="Q23" s="19" t="s">
        <v>180</v>
      </c>
      <c r="R23" s="10" t="str">
        <f>IF(ISBLANK($E23)=TRUE,"",IF($E23=Q23,2,0))</f>
        <v/>
      </c>
      <c r="S23" s="19" t="s">
        <v>176</v>
      </c>
      <c r="T23" s="10" t="str">
        <f>IF(ISBLANK($E23)=TRUE,"",IF($E23=S23,2,0))</f>
        <v/>
      </c>
      <c r="U23" s="19"/>
      <c r="V23" s="10" t="str">
        <f>IF(ISBLANK($E23)=TRUE,"",IF($E23=U23,2,0))</f>
        <v/>
      </c>
      <c r="W23" s="19" t="s">
        <v>122</v>
      </c>
      <c r="X23" s="10" t="str">
        <f>IF(ISBLANK($E23)=TRUE,"",IF($E23=W23,2,0))</f>
        <v/>
      </c>
      <c r="Y23" s="19" t="s">
        <v>176</v>
      </c>
      <c r="Z23" s="10" t="str">
        <f>IF(ISBLANK($E23)=TRUE,"",IF($E23=Y23,2,0))</f>
        <v/>
      </c>
      <c r="AA23" s="19" t="s">
        <v>211</v>
      </c>
      <c r="AB23" s="10" t="str">
        <f>IF(ISBLANK($E23)=TRUE,"",IF($E23=AA23,2,0))</f>
        <v/>
      </c>
      <c r="AC23" s="19"/>
      <c r="AD23" s="10" t="str">
        <f>IF(ISBLANK($E23)=TRUE,"",IF($E23=AC23,2,0))</f>
        <v/>
      </c>
      <c r="AE23" s="19" t="s">
        <v>176</v>
      </c>
      <c r="AF23" s="10" t="str">
        <f>IF(ISBLANK($E23)=TRUE,"",IF($E23=AE23,2,0))</f>
        <v/>
      </c>
      <c r="AG23" s="19" t="s">
        <v>176</v>
      </c>
      <c r="AH23" s="10" t="str">
        <f>IF(ISBLANK($E23)=TRUE,"",IF($E23=AG23,2,0))</f>
        <v/>
      </c>
      <c r="AI23" s="19" t="s">
        <v>176</v>
      </c>
      <c r="AJ23" s="10" t="str">
        <f>IF(ISBLANK($E23)=TRUE,"",IF($E23=AI23,2,0))</f>
        <v/>
      </c>
      <c r="AK23" s="19" t="s">
        <v>203</v>
      </c>
      <c r="AL23" s="10" t="str">
        <f>IF(ISBLANK($E23)=TRUE,"",IF($E23=AK23,2,0))</f>
        <v/>
      </c>
      <c r="AM23" s="19"/>
      <c r="AN23" s="10" t="str">
        <f>IF(ISBLANK($E23)=TRUE,"",IF($E23=AM23,2,0))</f>
        <v/>
      </c>
      <c r="AO23" s="19"/>
      <c r="AP23" s="10" t="str">
        <f>IF(ISBLANK($E23)=TRUE,"",IF($E23=AO23,2,0))</f>
        <v/>
      </c>
      <c r="AQ23" s="19" t="s">
        <v>180</v>
      </c>
      <c r="AR23" s="10" t="str">
        <f>IF(ISBLANK($E23)=TRUE,"",IF($E23=AQ23,2,0))</f>
        <v/>
      </c>
      <c r="AS23" s="19"/>
      <c r="AT23" s="10" t="str">
        <f>IF(ISBLANK($E23)=TRUE,"",IF($E23=AS23,2,0))</f>
        <v/>
      </c>
      <c r="AU23" s="19" t="s">
        <v>180</v>
      </c>
      <c r="AV23" s="10" t="str">
        <f>IF(ISBLANK($E23)=TRUE,"",IF($E23=AU23,2,0))</f>
        <v/>
      </c>
      <c r="AW23" s="19" t="s">
        <v>180</v>
      </c>
      <c r="AX23" s="10" t="str">
        <f>IF(ISBLANK($E23)=TRUE,"",IF($E23=AW23,2,0))</f>
        <v/>
      </c>
      <c r="AY23" s="19" t="s">
        <v>180</v>
      </c>
      <c r="AZ23" s="10" t="str">
        <f>IF(ISBLANK($E23)=TRUE,"",IF($E23=AY23,2,0))</f>
        <v/>
      </c>
      <c r="BA23" s="19" t="s">
        <v>203</v>
      </c>
      <c r="BB23" s="10" t="str">
        <f>IF(ISBLANK($E23)=TRUE,"",IF($E23=BA23,2,0))</f>
        <v/>
      </c>
      <c r="BC23" s="19"/>
      <c r="BD23" s="10" t="str">
        <f>IF(ISBLANK($E23)=TRUE,"",IF($E23=BC23,2,0))</f>
        <v/>
      </c>
      <c r="BE23" s="19" t="s">
        <v>180</v>
      </c>
      <c r="BF23" s="10" t="str">
        <f>IF(ISBLANK($E23)=TRUE,"",IF($E23=BE23,2,0))</f>
        <v/>
      </c>
    </row>
    <row r="24" spans="2:58" ht="15" thickBot="1" x14ac:dyDescent="0.35">
      <c r="B24" s="157" t="s">
        <v>130</v>
      </c>
      <c r="C24" s="158"/>
      <c r="D24" s="159"/>
      <c r="E24" s="157"/>
      <c r="F24" s="159"/>
      <c r="G24" s="62"/>
      <c r="H24" s="63"/>
      <c r="I24" s="65"/>
      <c r="J24" s="66"/>
      <c r="K24" s="68"/>
      <c r="L24" s="69"/>
      <c r="M24" s="110"/>
      <c r="N24" s="111"/>
      <c r="O24" s="71"/>
      <c r="P24" s="72"/>
      <c r="Q24" s="74"/>
      <c r="R24" s="75"/>
      <c r="S24" s="77"/>
      <c r="T24" s="78"/>
      <c r="U24" s="80"/>
      <c r="V24" s="81"/>
      <c r="W24" s="42"/>
      <c r="X24" s="43"/>
      <c r="Y24" s="83"/>
      <c r="Z24" s="84"/>
      <c r="AA24" s="86"/>
      <c r="AB24" s="87"/>
      <c r="AC24" s="89"/>
      <c r="AD24" s="90"/>
      <c r="AE24" s="92"/>
      <c r="AF24" s="93"/>
      <c r="AG24" s="95"/>
      <c r="AH24" s="96"/>
      <c r="AI24" s="36"/>
      <c r="AJ24" s="35"/>
      <c r="AK24" s="80"/>
      <c r="AL24" s="81"/>
      <c r="AM24" s="98"/>
      <c r="AN24" s="99"/>
      <c r="AO24" s="42"/>
      <c r="AP24" s="43"/>
      <c r="AQ24" s="101"/>
      <c r="AR24" s="102"/>
      <c r="AS24" s="104"/>
      <c r="AT24" s="105"/>
      <c r="AU24" s="110"/>
      <c r="AV24" s="111"/>
      <c r="AW24" s="141"/>
      <c r="AX24" s="142"/>
      <c r="AY24" s="86"/>
      <c r="AZ24" s="87"/>
      <c r="BA24" s="134"/>
      <c r="BB24" s="135"/>
      <c r="BC24" s="145"/>
      <c r="BD24" s="146"/>
      <c r="BE24" s="151"/>
      <c r="BF24" s="152"/>
    </row>
    <row r="25" spans="2:58" x14ac:dyDescent="0.3">
      <c r="B25" s="37" t="s">
        <v>85</v>
      </c>
      <c r="C25" s="20"/>
      <c r="D25" s="14"/>
      <c r="E25" s="237"/>
      <c r="F25" s="238"/>
      <c r="G25" s="17"/>
      <c r="H25" s="9" t="str">
        <f>IF(ISBLANK($E25)=TRUE,"",IF($E25=G25,5,0))</f>
        <v/>
      </c>
      <c r="I25" s="17"/>
      <c r="J25" s="9" t="str">
        <f>IF(ISBLANK($E25)=TRUE,"",IF($E25=I25,5,0))</f>
        <v/>
      </c>
      <c r="K25" s="17"/>
      <c r="L25" s="9" t="str">
        <f>IF(ISBLANK($E25)=TRUE,"",IF($E25=K25,5,0))</f>
        <v/>
      </c>
      <c r="M25" s="17"/>
      <c r="N25" s="9" t="str">
        <f>IF(ISBLANK($E25)=TRUE,"",IF($E25=M25,5,0))</f>
        <v/>
      </c>
      <c r="O25" s="17"/>
      <c r="P25" s="9" t="str">
        <f>IF(ISBLANK($E25)=TRUE,"",IF($E25=O25,5,0))</f>
        <v/>
      </c>
      <c r="Q25" s="17"/>
      <c r="R25" s="9" t="str">
        <f>IF(ISBLANK($E25)=TRUE,"",IF($E25=Q25,5,0))</f>
        <v/>
      </c>
      <c r="S25" s="17"/>
      <c r="T25" s="9" t="str">
        <f>IF(ISBLANK($E25)=TRUE,"",IF($E25=S25,5,0))</f>
        <v/>
      </c>
      <c r="U25" s="17"/>
      <c r="V25" s="9" t="str">
        <f>IF(ISBLANK($E25)=TRUE,"",IF($E25=U25,5,0))</f>
        <v/>
      </c>
      <c r="W25" s="17"/>
      <c r="X25" s="9" t="str">
        <f>IF(ISBLANK($E25)=TRUE,"",IF($E25=W25,5,0))</f>
        <v/>
      </c>
      <c r="Y25" s="17"/>
      <c r="Z25" s="9" t="str">
        <f>IF(ISBLANK($E25)=TRUE,"",IF($E25=Y25,5,0))</f>
        <v/>
      </c>
      <c r="AA25" s="17"/>
      <c r="AB25" s="9" t="str">
        <f>IF(ISBLANK($E25)=TRUE,"",IF($E25=AA25,5,0))</f>
        <v/>
      </c>
      <c r="AC25" s="17"/>
      <c r="AD25" s="9" t="str">
        <f>IF(ISBLANK($E25)=TRUE,"",IF($E25=AC25,5,0))</f>
        <v/>
      </c>
      <c r="AE25" s="17"/>
      <c r="AF25" s="9" t="str">
        <f>IF(ISBLANK($E25)=TRUE,"",IF($E25=AE25,5,0))</f>
        <v/>
      </c>
      <c r="AG25" s="17"/>
      <c r="AH25" s="9" t="str">
        <f>IF(ISBLANK($E25)=TRUE,"",IF($E25=AG25,5,0))</f>
        <v/>
      </c>
      <c r="AI25" s="17"/>
      <c r="AJ25" s="9" t="str">
        <f>IF(ISBLANK($E25)=TRUE,"",IF($E25=AI25,5,0))</f>
        <v/>
      </c>
      <c r="AK25" s="17"/>
      <c r="AL25" s="9" t="str">
        <f>IF(ISBLANK($E25)=TRUE,"",IF($E25=AK25,5,0))</f>
        <v/>
      </c>
      <c r="AM25" s="17"/>
      <c r="AN25" s="9" t="str">
        <f>IF(ISBLANK($E25)=TRUE,"",IF($E25=AM25,5,0))</f>
        <v/>
      </c>
      <c r="AO25" s="17"/>
      <c r="AP25" s="9" t="str">
        <f>IF(ISBLANK($E25)=TRUE,"",IF($E25=AO25,5,0))</f>
        <v/>
      </c>
      <c r="AQ25" s="17"/>
      <c r="AR25" s="9" t="str">
        <f>IF(ISBLANK($E25)=TRUE,"",IF($E25=AQ25,5,0))</f>
        <v/>
      </c>
      <c r="AS25" s="17"/>
      <c r="AT25" s="9" t="str">
        <f>IF(ISBLANK($E25)=TRUE,"",IF($E25=AS25,5,0))</f>
        <v/>
      </c>
      <c r="AU25" s="17"/>
      <c r="AV25" s="9" t="str">
        <f>IF(ISBLANK($E25)=TRUE,"",IF($E25=AU25,5,0))</f>
        <v/>
      </c>
      <c r="AW25" s="17"/>
      <c r="AX25" s="9" t="str">
        <f>IF(ISBLANK($E25)=TRUE,"",IF($E25=AW25,5,0))</f>
        <v/>
      </c>
      <c r="AY25" s="17"/>
      <c r="AZ25" s="9" t="str">
        <f>IF(ISBLANK($E25)=TRUE,"",IF($E25=AY25,5,0))</f>
        <v/>
      </c>
      <c r="BA25" s="17"/>
      <c r="BB25" s="9" t="str">
        <f>IF(ISBLANK($E25)=TRUE,"",IF($E25=BA25,5,0))</f>
        <v/>
      </c>
      <c r="BC25" s="17"/>
      <c r="BD25" s="9" t="str">
        <f>IF(ISBLANK($E25)=TRUE,"",IF($E25=BC25,5,0))</f>
        <v/>
      </c>
      <c r="BE25" s="17"/>
      <c r="BF25" s="9" t="str">
        <f>IF(ISBLANK($E25)=TRUE,"",IF($E25=BE25,5,0))</f>
        <v/>
      </c>
    </row>
    <row r="26" spans="2:58" x14ac:dyDescent="0.3">
      <c r="B26" s="38" t="s">
        <v>86</v>
      </c>
      <c r="C26" s="21"/>
      <c r="D26" s="15"/>
      <c r="E26" s="235"/>
      <c r="F26" s="236"/>
      <c r="G26" s="18"/>
      <c r="H26" s="9" t="str">
        <f>IF(ISBLANK($E26)=TRUE,"",IF($E26=G26,5,0))</f>
        <v/>
      </c>
      <c r="I26" s="18"/>
      <c r="J26" s="9" t="str">
        <f>IF(ISBLANK($E26)=TRUE,"",IF($E26=I26,5,0))</f>
        <v/>
      </c>
      <c r="K26" s="18"/>
      <c r="L26" s="9" t="str">
        <f>IF(ISBLANK($E26)=TRUE,"",IF($E26=K26,5,0))</f>
        <v/>
      </c>
      <c r="M26" s="18"/>
      <c r="N26" s="9" t="str">
        <f>IF(ISBLANK($E26)=TRUE,"",IF($E26=M26,5,0))</f>
        <v/>
      </c>
      <c r="O26" s="18"/>
      <c r="P26" s="9" t="str">
        <f>IF(ISBLANK($E26)=TRUE,"",IF($E26=O26,5,0))</f>
        <v/>
      </c>
      <c r="Q26" s="18"/>
      <c r="R26" s="9" t="str">
        <f>IF(ISBLANK($E26)=TRUE,"",IF($E26=Q26,5,0))</f>
        <v/>
      </c>
      <c r="S26" s="18"/>
      <c r="T26" s="9" t="str">
        <f>IF(ISBLANK($E26)=TRUE,"",IF($E26=S26,5,0))</f>
        <v/>
      </c>
      <c r="U26" s="18"/>
      <c r="V26" s="9" t="str">
        <f>IF(ISBLANK($E26)=TRUE,"",IF($E26=U26,5,0))</f>
        <v/>
      </c>
      <c r="W26" s="18"/>
      <c r="X26" s="9" t="str">
        <f>IF(ISBLANK($E26)=TRUE,"",IF($E26=W26,5,0))</f>
        <v/>
      </c>
      <c r="Y26" s="18"/>
      <c r="Z26" s="9" t="str">
        <f>IF(ISBLANK($E26)=TRUE,"",IF($E26=Y26,5,0))</f>
        <v/>
      </c>
      <c r="AA26" s="18"/>
      <c r="AB26" s="9" t="str">
        <f>IF(ISBLANK($E26)=TRUE,"",IF($E26=AA26,5,0))</f>
        <v/>
      </c>
      <c r="AC26" s="18"/>
      <c r="AD26" s="9" t="str">
        <f>IF(ISBLANK($E26)=TRUE,"",IF($E26=AC26,5,0))</f>
        <v/>
      </c>
      <c r="AE26" s="18"/>
      <c r="AF26" s="9" t="str">
        <f>IF(ISBLANK($E26)=TRUE,"",IF($E26=AE26,5,0))</f>
        <v/>
      </c>
      <c r="AG26" s="18"/>
      <c r="AH26" s="9" t="str">
        <f>IF(ISBLANK($E26)=TRUE,"",IF($E26=AG26,5,0))</f>
        <v/>
      </c>
      <c r="AI26" s="18"/>
      <c r="AJ26" s="9" t="str">
        <f>IF(ISBLANK($E26)=TRUE,"",IF($E26=AI26,5,0))</f>
        <v/>
      </c>
      <c r="AK26" s="18"/>
      <c r="AL26" s="9" t="str">
        <f>IF(ISBLANK($E26)=TRUE,"",IF($E26=AK26,5,0))</f>
        <v/>
      </c>
      <c r="AM26" s="18"/>
      <c r="AN26" s="9" t="str">
        <f>IF(ISBLANK($E26)=TRUE,"",IF($E26=AM26,5,0))</f>
        <v/>
      </c>
      <c r="AO26" s="18"/>
      <c r="AP26" s="9" t="str">
        <f>IF(ISBLANK($E26)=TRUE,"",IF($E26=AO26,5,0))</f>
        <v/>
      </c>
      <c r="AQ26" s="18"/>
      <c r="AR26" s="9" t="str">
        <f>IF(ISBLANK($E26)=TRUE,"",IF($E26=AQ26,5,0))</f>
        <v/>
      </c>
      <c r="AS26" s="18"/>
      <c r="AT26" s="9" t="str">
        <f>IF(ISBLANK($E26)=TRUE,"",IF($E26=AS26,5,0))</f>
        <v/>
      </c>
      <c r="AU26" s="18"/>
      <c r="AV26" s="9" t="str">
        <f>IF(ISBLANK($E26)=TRUE,"",IF($E26=AU26,5,0))</f>
        <v/>
      </c>
      <c r="AW26" s="18"/>
      <c r="AX26" s="9" t="str">
        <f>IF(ISBLANK($E26)=TRUE,"",IF($E26=AW26,5,0))</f>
        <v/>
      </c>
      <c r="AY26" s="18"/>
      <c r="AZ26" s="9" t="str">
        <f>IF(ISBLANK($E26)=TRUE,"",IF($E26=AY26,5,0))</f>
        <v/>
      </c>
      <c r="BA26" s="18"/>
      <c r="BB26" s="9" t="str">
        <f>IF(ISBLANK($E26)=TRUE,"",IF($E26=BA26,5,0))</f>
        <v/>
      </c>
      <c r="BC26" s="18"/>
      <c r="BD26" s="9" t="str">
        <f>IF(ISBLANK($E26)=TRUE,"",IF($E26=BC26,5,0))</f>
        <v/>
      </c>
      <c r="BE26" s="18"/>
      <c r="BF26" s="9" t="str">
        <f>IF(ISBLANK($E26)=TRUE,"",IF($E26=BE26,5,0))</f>
        <v/>
      </c>
    </row>
    <row r="27" spans="2:58" ht="15" thickBot="1" x14ac:dyDescent="0.35">
      <c r="B27" s="38" t="s">
        <v>87</v>
      </c>
      <c r="C27" s="21"/>
      <c r="D27" s="15"/>
      <c r="E27" s="239"/>
      <c r="F27" s="240"/>
      <c r="G27" s="18"/>
      <c r="H27" s="9" t="str">
        <f>IF(ISBLANK($E27)=TRUE,"",IF($E27=G27,5,0))</f>
        <v/>
      </c>
      <c r="I27" s="18"/>
      <c r="J27" s="9" t="str">
        <f>IF(ISBLANK($E27)=TRUE,"",IF($E27=I27,5,0))</f>
        <v/>
      </c>
      <c r="K27" s="18"/>
      <c r="L27" s="9" t="str">
        <f>IF(ISBLANK($E27)=TRUE,"",IF($E27=K27,5,0))</f>
        <v/>
      </c>
      <c r="M27" s="18"/>
      <c r="N27" s="9" t="str">
        <f>IF(ISBLANK($E27)=TRUE,"",IF($E27=M27,5,0))</f>
        <v/>
      </c>
      <c r="O27" s="18"/>
      <c r="P27" s="9" t="str">
        <f>IF(ISBLANK($E27)=TRUE,"",IF($E27=O27,5,0))</f>
        <v/>
      </c>
      <c r="Q27" s="18"/>
      <c r="R27" s="9" t="str">
        <f>IF(ISBLANK($E27)=TRUE,"",IF($E27=Q27,5,0))</f>
        <v/>
      </c>
      <c r="S27" s="18"/>
      <c r="T27" s="9" t="str">
        <f>IF(ISBLANK($E27)=TRUE,"",IF($E27=S27,5,0))</f>
        <v/>
      </c>
      <c r="U27" s="18"/>
      <c r="V27" s="9" t="str">
        <f>IF(ISBLANK($E27)=TRUE,"",IF($E27=U27,5,0))</f>
        <v/>
      </c>
      <c r="W27" s="18"/>
      <c r="X27" s="9" t="str">
        <f>IF(ISBLANK($E27)=TRUE,"",IF($E27=W27,5,0))</f>
        <v/>
      </c>
      <c r="Y27" s="18"/>
      <c r="Z27" s="9" t="str">
        <f>IF(ISBLANK($E27)=TRUE,"",IF($E27=Y27,5,0))</f>
        <v/>
      </c>
      <c r="AA27" s="18"/>
      <c r="AB27" s="9" t="str">
        <f>IF(ISBLANK($E27)=TRUE,"",IF($E27=AA27,5,0))</f>
        <v/>
      </c>
      <c r="AC27" s="18"/>
      <c r="AD27" s="9" t="str">
        <f>IF(ISBLANK($E27)=TRUE,"",IF($E27=AC27,5,0))</f>
        <v/>
      </c>
      <c r="AE27" s="18"/>
      <c r="AF27" s="9" t="str">
        <f>IF(ISBLANK($E27)=TRUE,"",IF($E27=AE27,5,0))</f>
        <v/>
      </c>
      <c r="AG27" s="18"/>
      <c r="AH27" s="9" t="str">
        <f>IF(ISBLANK($E27)=TRUE,"",IF($E27=AG27,5,0))</f>
        <v/>
      </c>
      <c r="AI27" s="18"/>
      <c r="AJ27" s="9" t="str">
        <f>IF(ISBLANK($E27)=TRUE,"",IF($E27=AI27,5,0))</f>
        <v/>
      </c>
      <c r="AK27" s="18"/>
      <c r="AL27" s="9" t="str">
        <f>IF(ISBLANK($E27)=TRUE,"",IF($E27=AK27,5,0))</f>
        <v/>
      </c>
      <c r="AM27" s="18"/>
      <c r="AN27" s="9" t="str">
        <f>IF(ISBLANK($E27)=TRUE,"",IF($E27=AM27,5,0))</f>
        <v/>
      </c>
      <c r="AO27" s="18"/>
      <c r="AP27" s="9" t="str">
        <f>IF(ISBLANK($E27)=TRUE,"",IF($E27=AO27,5,0))</f>
        <v/>
      </c>
      <c r="AQ27" s="18"/>
      <c r="AR27" s="9" t="str">
        <f>IF(ISBLANK($E27)=TRUE,"",IF($E27=AQ27,5,0))</f>
        <v/>
      </c>
      <c r="AS27" s="18"/>
      <c r="AT27" s="9" t="str">
        <f>IF(ISBLANK($E27)=TRUE,"",IF($E27=AS27,5,0))</f>
        <v/>
      </c>
      <c r="AU27" s="18"/>
      <c r="AV27" s="9" t="str">
        <f>IF(ISBLANK($E27)=TRUE,"",IF($E27=AU27,5,0))</f>
        <v/>
      </c>
      <c r="AW27" s="18"/>
      <c r="AX27" s="9" t="str">
        <f>IF(ISBLANK($E27)=TRUE,"",IF($E27=AW27,5,0))</f>
        <v/>
      </c>
      <c r="AY27" s="18"/>
      <c r="AZ27" s="9" t="str">
        <f>IF(ISBLANK($E27)=TRUE,"",IF($E27=AY27,5,0))</f>
        <v/>
      </c>
      <c r="BA27" s="18"/>
      <c r="BB27" s="9" t="str">
        <f>IF(ISBLANK($E27)=TRUE,"",IF($E27=BA27,5,0))</f>
        <v/>
      </c>
      <c r="BC27" s="18"/>
      <c r="BD27" s="9" t="str">
        <f>IF(ISBLANK($E27)=TRUE,"",IF($E27=BC27,5,0))</f>
        <v/>
      </c>
      <c r="BE27" s="18"/>
      <c r="BF27" s="9" t="str">
        <f>IF(ISBLANK($E27)=TRUE,"",IF($E27=BE27,5,0))</f>
        <v/>
      </c>
    </row>
    <row r="28" spans="2:58" ht="15" thickBot="1" x14ac:dyDescent="0.35">
      <c r="B28" s="157" t="s">
        <v>131</v>
      </c>
      <c r="C28" s="158"/>
      <c r="D28" s="159"/>
      <c r="E28" s="157"/>
      <c r="F28" s="159"/>
      <c r="G28" s="62"/>
      <c r="H28" s="63"/>
      <c r="I28" s="65"/>
      <c r="J28" s="66"/>
      <c r="K28" s="68"/>
      <c r="L28" s="69"/>
      <c r="M28" s="110"/>
      <c r="N28" s="111"/>
      <c r="O28" s="71"/>
      <c r="P28" s="72"/>
      <c r="Q28" s="74"/>
      <c r="R28" s="75"/>
      <c r="S28" s="77"/>
      <c r="T28" s="78"/>
      <c r="U28" s="80"/>
      <c r="V28" s="81"/>
      <c r="W28" s="42"/>
      <c r="X28" s="43"/>
      <c r="Y28" s="83"/>
      <c r="Z28" s="84"/>
      <c r="AA28" s="86"/>
      <c r="AB28" s="87"/>
      <c r="AC28" s="89"/>
      <c r="AD28" s="90"/>
      <c r="AE28" s="92"/>
      <c r="AF28" s="93"/>
      <c r="AG28" s="95"/>
      <c r="AH28" s="96"/>
      <c r="AI28" s="36"/>
      <c r="AJ28" s="35"/>
      <c r="AK28" s="80"/>
      <c r="AL28" s="81"/>
      <c r="AM28" s="98"/>
      <c r="AN28" s="99"/>
      <c r="AO28" s="42"/>
      <c r="AP28" s="43"/>
      <c r="AQ28" s="101"/>
      <c r="AR28" s="102"/>
      <c r="AS28" s="104"/>
      <c r="AT28" s="105"/>
      <c r="AU28" s="110"/>
      <c r="AV28" s="111"/>
      <c r="AW28" s="141"/>
      <c r="AX28" s="142"/>
      <c r="AY28" s="86"/>
      <c r="AZ28" s="87"/>
      <c r="BA28" s="134"/>
      <c r="BB28" s="135"/>
      <c r="BC28" s="145"/>
      <c r="BD28" s="146"/>
      <c r="BE28" s="151"/>
      <c r="BF28" s="152"/>
    </row>
    <row r="29" spans="2:58" x14ac:dyDescent="0.3">
      <c r="B29" s="37" t="s">
        <v>85</v>
      </c>
      <c r="C29" s="20"/>
      <c r="D29" s="14"/>
      <c r="E29" s="237"/>
      <c r="F29" s="238"/>
      <c r="G29" s="17"/>
      <c r="H29" s="11" t="str">
        <f>IF(ISBLANK($E29)=TRUE,"",IF($E29=G29,5,0))</f>
        <v/>
      </c>
      <c r="I29" s="17"/>
      <c r="J29" s="11" t="str">
        <f>IF(ISBLANK($E29)=TRUE,"",IF($E29=I29,5,0))</f>
        <v/>
      </c>
      <c r="K29" s="17"/>
      <c r="L29" s="11" t="str">
        <f>IF(ISBLANK($E29)=TRUE,"",IF($E29=K29,5,0))</f>
        <v/>
      </c>
      <c r="M29" s="17"/>
      <c r="N29" s="11" t="str">
        <f>IF(ISBLANK($E29)=TRUE,"",IF($E29=M29,5,0))</f>
        <v/>
      </c>
      <c r="O29" s="17"/>
      <c r="P29" s="11" t="str">
        <f>IF(ISBLANK($E29)=TRUE,"",IF($E29=O29,5,0))</f>
        <v/>
      </c>
      <c r="Q29" s="17"/>
      <c r="R29" s="11" t="str">
        <f>IF(ISBLANK($E29)=TRUE,"",IF($E29=Q29,5,0))</f>
        <v/>
      </c>
      <c r="S29" s="17"/>
      <c r="T29" s="11" t="str">
        <f>IF(ISBLANK($E29)=TRUE,"",IF($E29=S29,5,0))</f>
        <v/>
      </c>
      <c r="U29" s="17"/>
      <c r="V29" s="11" t="str">
        <f>IF(ISBLANK($E29)=TRUE,"",IF($E29=U29,5,0))</f>
        <v/>
      </c>
      <c r="W29" s="17"/>
      <c r="X29" s="11" t="str">
        <f>IF(ISBLANK($E29)=TRUE,"",IF($E29=W29,5,0))</f>
        <v/>
      </c>
      <c r="Y29" s="17"/>
      <c r="Z29" s="11" t="str">
        <f>IF(ISBLANK($E29)=TRUE,"",IF($E29=Y29,5,0))</f>
        <v/>
      </c>
      <c r="AA29" s="17"/>
      <c r="AB29" s="11" t="str">
        <f>IF(ISBLANK($E29)=TRUE,"",IF($E29=AA29,5,0))</f>
        <v/>
      </c>
      <c r="AC29" s="17"/>
      <c r="AD29" s="11" t="str">
        <f>IF(ISBLANK($E29)=TRUE,"",IF($E29=AC29,5,0))</f>
        <v/>
      </c>
      <c r="AE29" s="17"/>
      <c r="AF29" s="11" t="str">
        <f>IF(ISBLANK($E29)=TRUE,"",IF($E29=AE29,5,0))</f>
        <v/>
      </c>
      <c r="AG29" s="17"/>
      <c r="AH29" s="11" t="str">
        <f>IF(ISBLANK($E29)=TRUE,"",IF($E29=AG29,5,0))</f>
        <v/>
      </c>
      <c r="AI29" s="17"/>
      <c r="AJ29" s="11" t="str">
        <f>IF(ISBLANK($E29)=TRUE,"",IF($E29=AI29,5,0))</f>
        <v/>
      </c>
      <c r="AK29" s="17"/>
      <c r="AL29" s="11" t="str">
        <f>IF(ISBLANK($E29)=TRUE,"",IF($E29=AK29,5,0))</f>
        <v/>
      </c>
      <c r="AM29" s="17"/>
      <c r="AN29" s="11" t="str">
        <f>IF(ISBLANK($E29)=TRUE,"",IF($E29=AM29,5,0))</f>
        <v/>
      </c>
      <c r="AO29" s="17"/>
      <c r="AP29" s="11" t="str">
        <f>IF(ISBLANK($E29)=TRUE,"",IF($E29=AO29,5,0))</f>
        <v/>
      </c>
      <c r="AQ29" s="17"/>
      <c r="AR29" s="11" t="str">
        <f>IF(ISBLANK($E29)=TRUE,"",IF($E29=AQ29,5,0))</f>
        <v/>
      </c>
      <c r="AS29" s="17"/>
      <c r="AT29" s="11" t="str">
        <f>IF(ISBLANK($E29)=TRUE,"",IF($E29=AS29,5,0))</f>
        <v/>
      </c>
      <c r="AU29" s="17"/>
      <c r="AV29" s="11" t="str">
        <f>IF(ISBLANK($E29)=TRUE,"",IF($E29=AU29,5,0))</f>
        <v/>
      </c>
      <c r="AW29" s="17"/>
      <c r="AX29" s="11" t="str">
        <f>IF(ISBLANK($E29)=TRUE,"",IF($E29=AW29,5,0))</f>
        <v/>
      </c>
      <c r="AY29" s="17"/>
      <c r="AZ29" s="11" t="str">
        <f>IF(ISBLANK($E29)=TRUE,"",IF($E29=AY29,5,0))</f>
        <v/>
      </c>
      <c r="BA29" s="17"/>
      <c r="BB29" s="11" t="str">
        <f>IF(ISBLANK($E29)=TRUE,"",IF($E29=BA29,5,0))</f>
        <v/>
      </c>
      <c r="BC29" s="17"/>
      <c r="BD29" s="11" t="str">
        <f>IF(ISBLANK($E29)=TRUE,"",IF($E29=BC29,5,0))</f>
        <v/>
      </c>
      <c r="BE29" s="17"/>
      <c r="BF29" s="11" t="str">
        <f>IF(ISBLANK($E29)=TRUE,"",IF($E29=BE29,5,0))</f>
        <v/>
      </c>
    </row>
    <row r="30" spans="2:58" x14ac:dyDescent="0.3">
      <c r="B30" s="38" t="s">
        <v>86</v>
      </c>
      <c r="C30" s="21"/>
      <c r="D30" s="15"/>
      <c r="E30" s="235"/>
      <c r="F30" s="236"/>
      <c r="G30" s="18"/>
      <c r="H30" s="9" t="str">
        <f>IF(ISBLANK($E30)=TRUE,"",IF($E30=G30,5,0))</f>
        <v/>
      </c>
      <c r="I30" s="18"/>
      <c r="J30" s="9" t="str">
        <f>IF(ISBLANK($E30)=TRUE,"",IF($E30=I30,5,0))</f>
        <v/>
      </c>
      <c r="K30" s="18"/>
      <c r="L30" s="9" t="str">
        <f>IF(ISBLANK($E30)=TRUE,"",IF($E30=K30,5,0))</f>
        <v/>
      </c>
      <c r="M30" s="18"/>
      <c r="N30" s="9" t="str">
        <f>IF(ISBLANK($E30)=TRUE,"",IF($E30=M30,5,0))</f>
        <v/>
      </c>
      <c r="O30" s="18"/>
      <c r="P30" s="9" t="str">
        <f>IF(ISBLANK($E30)=TRUE,"",IF($E30=O30,5,0))</f>
        <v/>
      </c>
      <c r="Q30" s="18"/>
      <c r="R30" s="9" t="str">
        <f>IF(ISBLANK($E30)=TRUE,"",IF($E30=Q30,5,0))</f>
        <v/>
      </c>
      <c r="S30" s="18"/>
      <c r="T30" s="9" t="str">
        <f>IF(ISBLANK($E30)=TRUE,"",IF($E30=S30,5,0))</f>
        <v/>
      </c>
      <c r="U30" s="18"/>
      <c r="V30" s="9" t="str">
        <f>IF(ISBLANK($E30)=TRUE,"",IF($E30=U30,5,0))</f>
        <v/>
      </c>
      <c r="W30" s="18"/>
      <c r="X30" s="9" t="str">
        <f>IF(ISBLANK($E30)=TRUE,"",IF($E30=W30,5,0))</f>
        <v/>
      </c>
      <c r="Y30" s="18"/>
      <c r="Z30" s="9" t="str">
        <f>IF(ISBLANK($E30)=TRUE,"",IF($E30=Y30,5,0))</f>
        <v/>
      </c>
      <c r="AA30" s="18"/>
      <c r="AB30" s="9" t="str">
        <f>IF(ISBLANK($E30)=TRUE,"",IF($E30=AA30,5,0))</f>
        <v/>
      </c>
      <c r="AC30" s="18"/>
      <c r="AD30" s="9" t="str">
        <f>IF(ISBLANK($E30)=TRUE,"",IF($E30=AC30,5,0))</f>
        <v/>
      </c>
      <c r="AE30" s="18"/>
      <c r="AF30" s="9" t="str">
        <f>IF(ISBLANK($E30)=TRUE,"",IF($E30=AE30,5,0))</f>
        <v/>
      </c>
      <c r="AG30" s="18"/>
      <c r="AH30" s="9" t="str">
        <f>IF(ISBLANK($E30)=TRUE,"",IF($E30=AG30,5,0))</f>
        <v/>
      </c>
      <c r="AI30" s="18"/>
      <c r="AJ30" s="9" t="str">
        <f>IF(ISBLANK($E30)=TRUE,"",IF($E30=AI30,5,0))</f>
        <v/>
      </c>
      <c r="AK30" s="18"/>
      <c r="AL30" s="9" t="str">
        <f>IF(ISBLANK($E30)=TRUE,"",IF($E30=AK30,5,0))</f>
        <v/>
      </c>
      <c r="AM30" s="18"/>
      <c r="AN30" s="9" t="str">
        <f>IF(ISBLANK($E30)=TRUE,"",IF($E30=AM30,5,0))</f>
        <v/>
      </c>
      <c r="AO30" s="18"/>
      <c r="AP30" s="9" t="str">
        <f>IF(ISBLANK($E30)=TRUE,"",IF($E30=AO30,5,0))</f>
        <v/>
      </c>
      <c r="AQ30" s="18"/>
      <c r="AR30" s="9" t="str">
        <f>IF(ISBLANK($E30)=TRUE,"",IF($E30=AQ30,5,0))</f>
        <v/>
      </c>
      <c r="AS30" s="18"/>
      <c r="AT30" s="9" t="str">
        <f>IF(ISBLANK($E30)=TRUE,"",IF($E30=AS30,5,0))</f>
        <v/>
      </c>
      <c r="AU30" s="18"/>
      <c r="AV30" s="9" t="str">
        <f>IF(ISBLANK($E30)=TRUE,"",IF($E30=AU30,5,0))</f>
        <v/>
      </c>
      <c r="AW30" s="18"/>
      <c r="AX30" s="9" t="str">
        <f>IF(ISBLANK($E30)=TRUE,"",IF($E30=AW30,5,0))</f>
        <v/>
      </c>
      <c r="AY30" s="18"/>
      <c r="AZ30" s="9" t="str">
        <f>IF(ISBLANK($E30)=TRUE,"",IF($E30=AY30,5,0))</f>
        <v/>
      </c>
      <c r="BA30" s="18"/>
      <c r="BB30" s="9" t="str">
        <f>IF(ISBLANK($E30)=TRUE,"",IF($E30=BA30,5,0))</f>
        <v/>
      </c>
      <c r="BC30" s="18"/>
      <c r="BD30" s="9" t="str">
        <f>IF(ISBLANK($E30)=TRUE,"",IF($E30=BC30,5,0))</f>
        <v/>
      </c>
      <c r="BE30" s="18"/>
      <c r="BF30" s="9" t="str">
        <f>IF(ISBLANK($E30)=TRUE,"",IF($E30=BE30,5,0))</f>
        <v/>
      </c>
    </row>
    <row r="31" spans="2:58" ht="15" thickBot="1" x14ac:dyDescent="0.35">
      <c r="B31" s="38" t="s">
        <v>87</v>
      </c>
      <c r="C31" s="21"/>
      <c r="D31" s="15"/>
      <c r="E31" s="239"/>
      <c r="F31" s="240"/>
      <c r="G31" s="18"/>
      <c r="H31" s="9" t="str">
        <f>IF(ISBLANK($E31)=TRUE,"",IF($E31=G31,5,0))</f>
        <v/>
      </c>
      <c r="I31" s="18"/>
      <c r="J31" s="9" t="str">
        <f>IF(ISBLANK($E31)=TRUE,"",IF($E31=I31,5,0))</f>
        <v/>
      </c>
      <c r="K31" s="18"/>
      <c r="L31" s="9" t="str">
        <f>IF(ISBLANK($E31)=TRUE,"",IF($E31=K31,5,0))</f>
        <v/>
      </c>
      <c r="M31" s="18"/>
      <c r="N31" s="9" t="str">
        <f>IF(ISBLANK($E31)=TRUE,"",IF($E31=M31,5,0))</f>
        <v/>
      </c>
      <c r="O31" s="18"/>
      <c r="P31" s="9" t="str">
        <f>IF(ISBLANK($E31)=TRUE,"",IF($E31=O31,5,0))</f>
        <v/>
      </c>
      <c r="Q31" s="18"/>
      <c r="R31" s="9" t="str">
        <f>IF(ISBLANK($E31)=TRUE,"",IF($E31=Q31,5,0))</f>
        <v/>
      </c>
      <c r="S31" s="18"/>
      <c r="T31" s="9" t="str">
        <f>IF(ISBLANK($E31)=TRUE,"",IF($E31=S31,5,0))</f>
        <v/>
      </c>
      <c r="U31" s="18"/>
      <c r="V31" s="9" t="str">
        <f>IF(ISBLANK($E31)=TRUE,"",IF($E31=U31,5,0))</f>
        <v/>
      </c>
      <c r="W31" s="18"/>
      <c r="X31" s="9" t="str">
        <f>IF(ISBLANK($E31)=TRUE,"",IF($E31=W31,5,0))</f>
        <v/>
      </c>
      <c r="Y31" s="18"/>
      <c r="Z31" s="9" t="str">
        <f>IF(ISBLANK($E31)=TRUE,"",IF($E31=Y31,5,0))</f>
        <v/>
      </c>
      <c r="AA31" s="18"/>
      <c r="AB31" s="9" t="str">
        <f>IF(ISBLANK($E31)=TRUE,"",IF($E31=AA31,5,0))</f>
        <v/>
      </c>
      <c r="AC31" s="18"/>
      <c r="AD31" s="9" t="str">
        <f>IF(ISBLANK($E31)=TRUE,"",IF($E31=AC31,5,0))</f>
        <v/>
      </c>
      <c r="AE31" s="18"/>
      <c r="AF31" s="9" t="str">
        <f>IF(ISBLANK($E31)=TRUE,"",IF($E31=AE31,5,0))</f>
        <v/>
      </c>
      <c r="AG31" s="18"/>
      <c r="AH31" s="9" t="str">
        <f>IF(ISBLANK($E31)=TRUE,"",IF($E31=AG31,5,0))</f>
        <v/>
      </c>
      <c r="AI31" s="18"/>
      <c r="AJ31" s="9" t="str">
        <f>IF(ISBLANK($E31)=TRUE,"",IF($E31=AI31,5,0))</f>
        <v/>
      </c>
      <c r="AK31" s="18"/>
      <c r="AL31" s="9" t="str">
        <f>IF(ISBLANK($E31)=TRUE,"",IF($E31=AK31,5,0))</f>
        <v/>
      </c>
      <c r="AM31" s="18"/>
      <c r="AN31" s="9" t="str">
        <f>IF(ISBLANK($E31)=TRUE,"",IF($E31=AM31,5,0))</f>
        <v/>
      </c>
      <c r="AO31" s="18"/>
      <c r="AP31" s="9" t="str">
        <f>IF(ISBLANK($E31)=TRUE,"",IF($E31=AO31,5,0))</f>
        <v/>
      </c>
      <c r="AQ31" s="18"/>
      <c r="AR31" s="9" t="str">
        <f>IF(ISBLANK($E31)=TRUE,"",IF($E31=AQ31,5,0))</f>
        <v/>
      </c>
      <c r="AS31" s="18"/>
      <c r="AT31" s="9" t="str">
        <f>IF(ISBLANK($E31)=TRUE,"",IF($E31=AS31,5,0))</f>
        <v/>
      </c>
      <c r="AU31" s="18"/>
      <c r="AV31" s="9" t="str">
        <f>IF(ISBLANK($E31)=TRUE,"",IF($E31=AU31,5,0))</f>
        <v/>
      </c>
      <c r="AW31" s="18"/>
      <c r="AX31" s="9" t="str">
        <f>IF(ISBLANK($E31)=TRUE,"",IF($E31=AW31,5,0))</f>
        <v/>
      </c>
      <c r="AY31" s="18"/>
      <c r="AZ31" s="9" t="str">
        <f>IF(ISBLANK($E31)=TRUE,"",IF($E31=AY31,5,0))</f>
        <v/>
      </c>
      <c r="BA31" s="18"/>
      <c r="BB31" s="9" t="str">
        <f>IF(ISBLANK($E31)=TRUE,"",IF($E31=BA31,5,0))</f>
        <v/>
      </c>
      <c r="BC31" s="18"/>
      <c r="BD31" s="9" t="str">
        <f>IF(ISBLANK($E31)=TRUE,"",IF($E31=BC31,5,0))</f>
        <v/>
      </c>
      <c r="BE31" s="18"/>
      <c r="BF31" s="9" t="str">
        <f>IF(ISBLANK($E31)=TRUE,"",IF($E31=BE31,5,0))</f>
        <v/>
      </c>
    </row>
    <row r="32" spans="2:58" ht="15" thickBot="1" x14ac:dyDescent="0.35">
      <c r="B32" s="157" t="s">
        <v>132</v>
      </c>
      <c r="C32" s="158"/>
      <c r="D32" s="159"/>
      <c r="E32" s="157"/>
      <c r="F32" s="159"/>
      <c r="G32" s="62"/>
      <c r="H32" s="63"/>
      <c r="I32" s="65"/>
      <c r="J32" s="66"/>
      <c r="K32" s="68"/>
      <c r="L32" s="69"/>
      <c r="M32" s="110"/>
      <c r="N32" s="111"/>
      <c r="O32" s="71"/>
      <c r="P32" s="72"/>
      <c r="Q32" s="74"/>
      <c r="R32" s="75"/>
      <c r="S32" s="77"/>
      <c r="T32" s="78"/>
      <c r="U32" s="80"/>
      <c r="V32" s="81"/>
      <c r="W32" s="42"/>
      <c r="X32" s="43"/>
      <c r="Y32" s="83"/>
      <c r="Z32" s="84"/>
      <c r="AA32" s="86"/>
      <c r="AB32" s="87"/>
      <c r="AC32" s="89"/>
      <c r="AD32" s="90"/>
      <c r="AE32" s="92"/>
      <c r="AF32" s="93"/>
      <c r="AG32" s="95"/>
      <c r="AH32" s="96"/>
      <c r="AI32" s="36"/>
      <c r="AJ32" s="35"/>
      <c r="AK32" s="80"/>
      <c r="AL32" s="81"/>
      <c r="AM32" s="98"/>
      <c r="AN32" s="99"/>
      <c r="AO32" s="42"/>
      <c r="AP32" s="43"/>
      <c r="AQ32" s="101"/>
      <c r="AR32" s="102"/>
      <c r="AS32" s="104"/>
      <c r="AT32" s="105"/>
      <c r="AU32" s="110"/>
      <c r="AV32" s="111"/>
      <c r="AW32" s="141"/>
      <c r="AX32" s="142"/>
      <c r="AY32" s="86"/>
      <c r="AZ32" s="87"/>
      <c r="BA32" s="134"/>
      <c r="BB32" s="135"/>
      <c r="BC32" s="145"/>
      <c r="BD32" s="146"/>
      <c r="BE32" s="151"/>
      <c r="BF32" s="152"/>
    </row>
    <row r="33" spans="2:58" x14ac:dyDescent="0.3">
      <c r="B33" s="37" t="s">
        <v>85</v>
      </c>
      <c r="C33" s="20"/>
      <c r="D33" s="14"/>
      <c r="E33" s="237"/>
      <c r="F33" s="238"/>
      <c r="G33" s="17"/>
      <c r="H33" s="11" t="str">
        <f>IF(ISBLANK($E33)=TRUE,"",IF($E33=G33,5,0))</f>
        <v/>
      </c>
      <c r="I33" s="17"/>
      <c r="J33" s="11" t="str">
        <f>IF(ISBLANK($E33)=TRUE,"",IF($E33=I33,5,0))</f>
        <v/>
      </c>
      <c r="K33" s="17"/>
      <c r="L33" s="11" t="str">
        <f>IF(ISBLANK($E33)=TRUE,"",IF($E33=K33,5,0))</f>
        <v/>
      </c>
      <c r="M33" s="17"/>
      <c r="N33" s="11" t="str">
        <f>IF(ISBLANK($E33)=TRUE,"",IF($E33=M33,5,0))</f>
        <v/>
      </c>
      <c r="O33" s="17"/>
      <c r="P33" s="11" t="str">
        <f>IF(ISBLANK($E33)=TRUE,"",IF($E33=O33,5,0))</f>
        <v/>
      </c>
      <c r="Q33" s="17"/>
      <c r="R33" s="11" t="str">
        <f>IF(ISBLANK($E33)=TRUE,"",IF($E33=Q33,5,0))</f>
        <v/>
      </c>
      <c r="S33" s="17"/>
      <c r="T33" s="11" t="str">
        <f>IF(ISBLANK($E33)=TRUE,"",IF($E33=S33,5,0))</f>
        <v/>
      </c>
      <c r="U33" s="17"/>
      <c r="V33" s="11" t="str">
        <f>IF(ISBLANK($E33)=TRUE,"",IF($E33=U33,5,0))</f>
        <v/>
      </c>
      <c r="W33" s="17"/>
      <c r="X33" s="11" t="str">
        <f>IF(ISBLANK($E33)=TRUE,"",IF($E33=W33,5,0))</f>
        <v/>
      </c>
      <c r="Y33" s="17"/>
      <c r="Z33" s="11" t="str">
        <f>IF(ISBLANK($E33)=TRUE,"",IF($E33=Y33,5,0))</f>
        <v/>
      </c>
      <c r="AA33" s="17"/>
      <c r="AB33" s="11" t="str">
        <f>IF(ISBLANK($E33)=TRUE,"",IF($E33=AA33,5,0))</f>
        <v/>
      </c>
      <c r="AC33" s="17"/>
      <c r="AD33" s="11" t="str">
        <f>IF(ISBLANK($E33)=TRUE,"",IF($E33=AC33,5,0))</f>
        <v/>
      </c>
      <c r="AE33" s="17"/>
      <c r="AF33" s="11" t="str">
        <f>IF(ISBLANK($E33)=TRUE,"",IF($E33=AE33,5,0))</f>
        <v/>
      </c>
      <c r="AG33" s="17"/>
      <c r="AH33" s="11" t="str">
        <f>IF(ISBLANK($E33)=TRUE,"",IF($E33=AG33,5,0))</f>
        <v/>
      </c>
      <c r="AI33" s="17"/>
      <c r="AJ33" s="11" t="str">
        <f>IF(ISBLANK($E33)=TRUE,"",IF($E33=AI33,5,0))</f>
        <v/>
      </c>
      <c r="AK33" s="17"/>
      <c r="AL33" s="11" t="str">
        <f>IF(ISBLANK($E33)=TRUE,"",IF($E33=AK33,5,0))</f>
        <v/>
      </c>
      <c r="AM33" s="17"/>
      <c r="AN33" s="11" t="str">
        <f>IF(ISBLANK($E33)=TRUE,"",IF($E33=AM33,5,0))</f>
        <v/>
      </c>
      <c r="AO33" s="17"/>
      <c r="AP33" s="11" t="str">
        <f>IF(ISBLANK($E33)=TRUE,"",IF($E33=AO33,5,0))</f>
        <v/>
      </c>
      <c r="AQ33" s="17"/>
      <c r="AR33" s="11" t="str">
        <f>IF(ISBLANK($E33)=TRUE,"",IF($E33=AQ33,5,0))</f>
        <v/>
      </c>
      <c r="AS33" s="17"/>
      <c r="AT33" s="11" t="str">
        <f>IF(ISBLANK($E33)=TRUE,"",IF($E33=AS33,5,0))</f>
        <v/>
      </c>
      <c r="AU33" s="17"/>
      <c r="AV33" s="11" t="str">
        <f>IF(ISBLANK($E33)=TRUE,"",IF($E33=AU33,5,0))</f>
        <v/>
      </c>
      <c r="AW33" s="17"/>
      <c r="AX33" s="11" t="str">
        <f>IF(ISBLANK($E33)=TRUE,"",IF($E33=AW33,5,0))</f>
        <v/>
      </c>
      <c r="AY33" s="17"/>
      <c r="AZ33" s="11" t="str">
        <f>IF(ISBLANK($E33)=TRUE,"",IF($E33=AY33,5,0))</f>
        <v/>
      </c>
      <c r="BA33" s="17"/>
      <c r="BB33" s="11" t="str">
        <f>IF(ISBLANK($E33)=TRUE,"",IF($E33=BA33,5,0))</f>
        <v/>
      </c>
      <c r="BC33" s="17"/>
      <c r="BD33" s="11" t="str">
        <f>IF(ISBLANK($E33)=TRUE,"",IF($E33=BC33,5,0))</f>
        <v/>
      </c>
      <c r="BE33" s="17"/>
      <c r="BF33" s="11" t="str">
        <f>IF(ISBLANK($E33)=TRUE,"",IF($E33=BE33,5,0))</f>
        <v/>
      </c>
    </row>
    <row r="34" spans="2:58" x14ac:dyDescent="0.3">
      <c r="B34" s="38" t="s">
        <v>86</v>
      </c>
      <c r="C34" s="21"/>
      <c r="D34" s="15"/>
      <c r="E34" s="235"/>
      <c r="F34" s="236"/>
      <c r="G34" s="18"/>
      <c r="H34" s="9" t="str">
        <f>IF(ISBLANK($E34)=TRUE,"",IF($E34=G34,5,0))</f>
        <v/>
      </c>
      <c r="I34" s="18"/>
      <c r="J34" s="9" t="str">
        <f>IF(ISBLANK($E34)=TRUE,"",IF($E34=I34,5,0))</f>
        <v/>
      </c>
      <c r="K34" s="18"/>
      <c r="L34" s="9" t="str">
        <f>IF(ISBLANK($E34)=TRUE,"",IF($E34=K34,5,0))</f>
        <v/>
      </c>
      <c r="M34" s="18"/>
      <c r="N34" s="9" t="str">
        <f>IF(ISBLANK($E34)=TRUE,"",IF($E34=M34,5,0))</f>
        <v/>
      </c>
      <c r="O34" s="18"/>
      <c r="P34" s="9" t="str">
        <f>IF(ISBLANK($E34)=TRUE,"",IF($E34=O34,5,0))</f>
        <v/>
      </c>
      <c r="Q34" s="18"/>
      <c r="R34" s="9" t="str">
        <f>IF(ISBLANK($E34)=TRUE,"",IF($E34=Q34,5,0))</f>
        <v/>
      </c>
      <c r="S34" s="18"/>
      <c r="T34" s="9" t="str">
        <f>IF(ISBLANK($E34)=TRUE,"",IF($E34=S34,5,0))</f>
        <v/>
      </c>
      <c r="U34" s="18"/>
      <c r="V34" s="9" t="str">
        <f>IF(ISBLANK($E34)=TRUE,"",IF($E34=U34,5,0))</f>
        <v/>
      </c>
      <c r="W34" s="18"/>
      <c r="X34" s="9" t="str">
        <f>IF(ISBLANK($E34)=TRUE,"",IF($E34=W34,5,0))</f>
        <v/>
      </c>
      <c r="Y34" s="18"/>
      <c r="Z34" s="9" t="str">
        <f>IF(ISBLANK($E34)=TRUE,"",IF($E34=Y34,5,0))</f>
        <v/>
      </c>
      <c r="AA34" s="18"/>
      <c r="AB34" s="9" t="str">
        <f>IF(ISBLANK($E34)=TRUE,"",IF($E34=AA34,5,0))</f>
        <v/>
      </c>
      <c r="AC34" s="18"/>
      <c r="AD34" s="9" t="str">
        <f>IF(ISBLANK($E34)=TRUE,"",IF($E34=AC34,5,0))</f>
        <v/>
      </c>
      <c r="AE34" s="18"/>
      <c r="AF34" s="9" t="str">
        <f>IF(ISBLANK($E34)=TRUE,"",IF($E34=AE34,5,0))</f>
        <v/>
      </c>
      <c r="AG34" s="18"/>
      <c r="AH34" s="9" t="str">
        <f>IF(ISBLANK($E34)=TRUE,"",IF($E34=AG34,5,0))</f>
        <v/>
      </c>
      <c r="AI34" s="18"/>
      <c r="AJ34" s="9" t="str">
        <f>IF(ISBLANK($E34)=TRUE,"",IF($E34=AI34,5,0))</f>
        <v/>
      </c>
      <c r="AK34" s="18"/>
      <c r="AL34" s="9" t="str">
        <f>IF(ISBLANK($E34)=TRUE,"",IF($E34=AK34,5,0))</f>
        <v/>
      </c>
      <c r="AM34" s="18"/>
      <c r="AN34" s="9" t="str">
        <f>IF(ISBLANK($E34)=TRUE,"",IF($E34=AM34,5,0))</f>
        <v/>
      </c>
      <c r="AO34" s="18"/>
      <c r="AP34" s="9" t="str">
        <f>IF(ISBLANK($E34)=TRUE,"",IF($E34=AO34,5,0))</f>
        <v/>
      </c>
      <c r="AQ34" s="18"/>
      <c r="AR34" s="9" t="str">
        <f>IF(ISBLANK($E34)=TRUE,"",IF($E34=AQ34,5,0))</f>
        <v/>
      </c>
      <c r="AS34" s="18"/>
      <c r="AT34" s="9" t="str">
        <f>IF(ISBLANK($E34)=TRUE,"",IF($E34=AS34,5,0))</f>
        <v/>
      </c>
      <c r="AU34" s="18"/>
      <c r="AV34" s="9" t="str">
        <f>IF(ISBLANK($E34)=TRUE,"",IF($E34=AU34,5,0))</f>
        <v/>
      </c>
      <c r="AW34" s="18"/>
      <c r="AX34" s="9" t="str">
        <f>IF(ISBLANK($E34)=TRUE,"",IF($E34=AW34,5,0))</f>
        <v/>
      </c>
      <c r="AY34" s="18"/>
      <c r="AZ34" s="9" t="str">
        <f>IF(ISBLANK($E34)=TRUE,"",IF($E34=AY34,5,0))</f>
        <v/>
      </c>
      <c r="BA34" s="18"/>
      <c r="BB34" s="9" t="str">
        <f>IF(ISBLANK($E34)=TRUE,"",IF($E34=BA34,5,0))</f>
        <v/>
      </c>
      <c r="BC34" s="18"/>
      <c r="BD34" s="9" t="str">
        <f>IF(ISBLANK($E34)=TRUE,"",IF($E34=BC34,5,0))</f>
        <v/>
      </c>
      <c r="BE34" s="18"/>
      <c r="BF34" s="9" t="str">
        <f>IF(ISBLANK($E34)=TRUE,"",IF($E34=BE34,5,0))</f>
        <v/>
      </c>
    </row>
    <row r="35" spans="2:58" ht="15" thickBot="1" x14ac:dyDescent="0.35">
      <c r="B35" s="38" t="s">
        <v>87</v>
      </c>
      <c r="C35" s="21"/>
      <c r="D35" s="15"/>
      <c r="E35" s="239"/>
      <c r="F35" s="240"/>
      <c r="G35" s="18"/>
      <c r="H35" s="9" t="str">
        <f>IF(ISBLANK($E35)=TRUE,"",IF($E35=G35,5,0))</f>
        <v/>
      </c>
      <c r="I35" s="18"/>
      <c r="J35" s="9" t="str">
        <f>IF(ISBLANK($E35)=TRUE,"",IF($E35=I35,5,0))</f>
        <v/>
      </c>
      <c r="K35" s="18"/>
      <c r="L35" s="9" t="str">
        <f>IF(ISBLANK($E35)=TRUE,"",IF($E35=K35,5,0))</f>
        <v/>
      </c>
      <c r="M35" s="18"/>
      <c r="N35" s="9" t="str">
        <f>IF(ISBLANK($E35)=TRUE,"",IF($E35=M35,5,0))</f>
        <v/>
      </c>
      <c r="O35" s="18"/>
      <c r="P35" s="9" t="str">
        <f>IF(ISBLANK($E35)=TRUE,"",IF($E35=O35,5,0))</f>
        <v/>
      </c>
      <c r="Q35" s="18"/>
      <c r="R35" s="9" t="str">
        <f>IF(ISBLANK($E35)=TRUE,"",IF($E35=Q35,5,0))</f>
        <v/>
      </c>
      <c r="S35" s="18"/>
      <c r="T35" s="9" t="str">
        <f>IF(ISBLANK($E35)=TRUE,"",IF($E35=S35,5,0))</f>
        <v/>
      </c>
      <c r="U35" s="18"/>
      <c r="V35" s="9" t="str">
        <f>IF(ISBLANK($E35)=TRUE,"",IF($E35=U35,5,0))</f>
        <v/>
      </c>
      <c r="W35" s="18"/>
      <c r="X35" s="9" t="str">
        <f>IF(ISBLANK($E35)=TRUE,"",IF($E35=W35,5,0))</f>
        <v/>
      </c>
      <c r="Y35" s="18"/>
      <c r="Z35" s="9" t="str">
        <f>IF(ISBLANK($E35)=TRUE,"",IF($E35=Y35,5,0))</f>
        <v/>
      </c>
      <c r="AA35" s="18"/>
      <c r="AB35" s="9" t="str">
        <f>IF(ISBLANK($E35)=TRUE,"",IF($E35=AA35,5,0))</f>
        <v/>
      </c>
      <c r="AC35" s="18"/>
      <c r="AD35" s="9" t="str">
        <f>IF(ISBLANK($E35)=TRUE,"",IF($E35=AC35,5,0))</f>
        <v/>
      </c>
      <c r="AE35" s="18"/>
      <c r="AF35" s="9" t="str">
        <f>IF(ISBLANK($E35)=TRUE,"",IF($E35=AE35,5,0))</f>
        <v/>
      </c>
      <c r="AG35" s="18"/>
      <c r="AH35" s="9" t="str">
        <f>IF(ISBLANK($E35)=TRUE,"",IF($E35=AG35,5,0))</f>
        <v/>
      </c>
      <c r="AI35" s="18"/>
      <c r="AJ35" s="9" t="str">
        <f>IF(ISBLANK($E35)=TRUE,"",IF($E35=AI35,5,0))</f>
        <v/>
      </c>
      <c r="AK35" s="18"/>
      <c r="AL35" s="9" t="str">
        <f>IF(ISBLANK($E35)=TRUE,"",IF($E35=AK35,5,0))</f>
        <v/>
      </c>
      <c r="AM35" s="18"/>
      <c r="AN35" s="9" t="str">
        <f>IF(ISBLANK($E35)=TRUE,"",IF($E35=AM35,5,0))</f>
        <v/>
      </c>
      <c r="AO35" s="18"/>
      <c r="AP35" s="9" t="str">
        <f>IF(ISBLANK($E35)=TRUE,"",IF($E35=AO35,5,0))</f>
        <v/>
      </c>
      <c r="AQ35" s="18"/>
      <c r="AR35" s="9" t="str">
        <f>IF(ISBLANK($E35)=TRUE,"",IF($E35=AQ35,5,0))</f>
        <v/>
      </c>
      <c r="AS35" s="18"/>
      <c r="AT35" s="9" t="str">
        <f>IF(ISBLANK($E35)=TRUE,"",IF($E35=AS35,5,0))</f>
        <v/>
      </c>
      <c r="AU35" s="18"/>
      <c r="AV35" s="9" t="str">
        <f>IF(ISBLANK($E35)=TRUE,"",IF($E35=AU35,5,0))</f>
        <v/>
      </c>
      <c r="AW35" s="18"/>
      <c r="AX35" s="9" t="str">
        <f>IF(ISBLANK($E35)=TRUE,"",IF($E35=AW35,5,0))</f>
        <v/>
      </c>
      <c r="AY35" s="18"/>
      <c r="AZ35" s="9" t="str">
        <f>IF(ISBLANK($E35)=TRUE,"",IF($E35=AY35,5,0))</f>
        <v/>
      </c>
      <c r="BA35" s="18"/>
      <c r="BB35" s="9" t="str">
        <f>IF(ISBLANK($E35)=TRUE,"",IF($E35=BA35,5,0))</f>
        <v/>
      </c>
      <c r="BC35" s="18"/>
      <c r="BD35" s="9" t="str">
        <f>IF(ISBLANK($E35)=TRUE,"",IF($E35=BC35,5,0))</f>
        <v/>
      </c>
      <c r="BE35" s="18"/>
      <c r="BF35" s="9" t="str">
        <f>IF(ISBLANK($E35)=TRUE,"",IF($E35=BE35,5,0))</f>
        <v/>
      </c>
    </row>
    <row r="36" spans="2:58" ht="15" thickBot="1" x14ac:dyDescent="0.35">
      <c r="B36" s="157" t="s">
        <v>133</v>
      </c>
      <c r="C36" s="158"/>
      <c r="D36" s="159"/>
      <c r="E36" s="157"/>
      <c r="F36" s="159"/>
      <c r="G36" s="62"/>
      <c r="H36" s="63"/>
      <c r="I36" s="65"/>
      <c r="J36" s="66"/>
      <c r="K36" s="68"/>
      <c r="L36" s="69"/>
      <c r="M36" s="110"/>
      <c r="N36" s="111"/>
      <c r="O36" s="71"/>
      <c r="P36" s="72"/>
      <c r="Q36" s="74"/>
      <c r="R36" s="75"/>
      <c r="S36" s="77"/>
      <c r="T36" s="78"/>
      <c r="U36" s="80"/>
      <c r="V36" s="81"/>
      <c r="W36" s="42"/>
      <c r="X36" s="43"/>
      <c r="Y36" s="83"/>
      <c r="Z36" s="84"/>
      <c r="AA36" s="86"/>
      <c r="AB36" s="87"/>
      <c r="AC36" s="89"/>
      <c r="AD36" s="90"/>
      <c r="AE36" s="92"/>
      <c r="AF36" s="93"/>
      <c r="AG36" s="95"/>
      <c r="AH36" s="96"/>
      <c r="AI36" s="36"/>
      <c r="AJ36" s="35"/>
      <c r="AK36" s="80"/>
      <c r="AL36" s="81"/>
      <c r="AM36" s="98"/>
      <c r="AN36" s="99"/>
      <c r="AO36" s="42"/>
      <c r="AP36" s="43"/>
      <c r="AQ36" s="101"/>
      <c r="AR36" s="102"/>
      <c r="AS36" s="104"/>
      <c r="AT36" s="105"/>
      <c r="AU36" s="110"/>
      <c r="AV36" s="111"/>
      <c r="AW36" s="141"/>
      <c r="AX36" s="142"/>
      <c r="AY36" s="86"/>
      <c r="AZ36" s="87"/>
      <c r="BA36" s="134"/>
      <c r="BB36" s="135"/>
      <c r="BC36" s="145"/>
      <c r="BD36" s="146"/>
      <c r="BE36" s="151"/>
      <c r="BF36" s="152"/>
    </row>
    <row r="37" spans="2:58" x14ac:dyDescent="0.3">
      <c r="B37" s="37" t="s">
        <v>85</v>
      </c>
      <c r="C37" s="20"/>
      <c r="D37" s="14"/>
      <c r="E37" s="237"/>
      <c r="F37" s="238"/>
      <c r="G37" s="17"/>
      <c r="H37" s="11" t="str">
        <f>IF(ISBLANK($E37)=TRUE,"",IF($E37=G37,5,0))</f>
        <v/>
      </c>
      <c r="I37" s="17"/>
      <c r="J37" s="11" t="str">
        <f>IF(ISBLANK($E37)=TRUE,"",IF($E37=I37,5,0))</f>
        <v/>
      </c>
      <c r="K37" s="17"/>
      <c r="L37" s="11" t="str">
        <f>IF(ISBLANK($E37)=TRUE,"",IF($E37=K37,5,0))</f>
        <v/>
      </c>
      <c r="M37" s="17"/>
      <c r="N37" s="11" t="str">
        <f>IF(ISBLANK($E37)=TRUE,"",IF($E37=M37,5,0))</f>
        <v/>
      </c>
      <c r="O37" s="17"/>
      <c r="P37" s="11" t="str">
        <f>IF(ISBLANK($E37)=TRUE,"",IF($E37=O37,5,0))</f>
        <v/>
      </c>
      <c r="Q37" s="17"/>
      <c r="R37" s="11" t="str">
        <f>IF(ISBLANK($E37)=TRUE,"",IF($E37=Q37,5,0))</f>
        <v/>
      </c>
      <c r="S37" s="17"/>
      <c r="T37" s="11" t="str">
        <f>IF(ISBLANK($E37)=TRUE,"",IF($E37=S37,5,0))</f>
        <v/>
      </c>
      <c r="U37" s="17"/>
      <c r="V37" s="11" t="str">
        <f>IF(ISBLANK($E37)=TRUE,"",IF($E37=U37,5,0))</f>
        <v/>
      </c>
      <c r="W37" s="17"/>
      <c r="X37" s="11" t="str">
        <f>IF(ISBLANK($E37)=TRUE,"",IF($E37=W37,5,0))</f>
        <v/>
      </c>
      <c r="Y37" s="17"/>
      <c r="Z37" s="11" t="str">
        <f>IF(ISBLANK($E37)=TRUE,"",IF($E37=Y37,5,0))</f>
        <v/>
      </c>
      <c r="AA37" s="17"/>
      <c r="AB37" s="11" t="str">
        <f>IF(ISBLANK($E37)=TRUE,"",IF($E37=AA37,5,0))</f>
        <v/>
      </c>
      <c r="AC37" s="17"/>
      <c r="AD37" s="11" t="str">
        <f>IF(ISBLANK($E37)=TRUE,"",IF($E37=AC37,5,0))</f>
        <v/>
      </c>
      <c r="AE37" s="17"/>
      <c r="AF37" s="11" t="str">
        <f>IF(ISBLANK($E37)=TRUE,"",IF($E37=AE37,5,0))</f>
        <v/>
      </c>
      <c r="AG37" s="17"/>
      <c r="AH37" s="11" t="str">
        <f>IF(ISBLANK($E37)=TRUE,"",IF($E37=AG37,5,0))</f>
        <v/>
      </c>
      <c r="AI37" s="17"/>
      <c r="AJ37" s="11" t="str">
        <f>IF(ISBLANK($E37)=TRUE,"",IF($E37=AI37,5,0))</f>
        <v/>
      </c>
      <c r="AK37" s="17"/>
      <c r="AL37" s="11" t="str">
        <f>IF(ISBLANK($E37)=TRUE,"",IF($E37=AK37,5,0))</f>
        <v/>
      </c>
      <c r="AM37" s="17"/>
      <c r="AN37" s="11" t="str">
        <f>IF(ISBLANK($E37)=TRUE,"",IF($E37=AM37,5,0))</f>
        <v/>
      </c>
      <c r="AO37" s="17"/>
      <c r="AP37" s="11" t="str">
        <f>IF(ISBLANK($E37)=TRUE,"",IF($E37=AO37,5,0))</f>
        <v/>
      </c>
      <c r="AQ37" s="17"/>
      <c r="AR37" s="11" t="str">
        <f>IF(ISBLANK($E37)=TRUE,"",IF($E37=AQ37,5,0))</f>
        <v/>
      </c>
      <c r="AS37" s="17"/>
      <c r="AT37" s="11" t="str">
        <f>IF(ISBLANK($E37)=TRUE,"",IF($E37=AS37,5,0))</f>
        <v/>
      </c>
      <c r="AU37" s="17"/>
      <c r="AV37" s="11" t="str">
        <f>IF(ISBLANK($E37)=TRUE,"",IF($E37=AU37,5,0))</f>
        <v/>
      </c>
      <c r="AW37" s="17"/>
      <c r="AX37" s="11" t="str">
        <f>IF(ISBLANK($E37)=TRUE,"",IF($E37=AW37,5,0))</f>
        <v/>
      </c>
      <c r="AY37" s="17"/>
      <c r="AZ37" s="11" t="str">
        <f>IF(ISBLANK($E37)=TRUE,"",IF($E37=AY37,5,0))</f>
        <v/>
      </c>
      <c r="BA37" s="17"/>
      <c r="BB37" s="11" t="str">
        <f>IF(ISBLANK($E37)=TRUE,"",IF($E37=BA37,5,0))</f>
        <v/>
      </c>
      <c r="BC37" s="17"/>
      <c r="BD37" s="11" t="str">
        <f>IF(ISBLANK($E37)=TRUE,"",IF($E37=BC37,5,0))</f>
        <v/>
      </c>
      <c r="BE37" s="17"/>
      <c r="BF37" s="11" t="str">
        <f>IF(ISBLANK($E37)=TRUE,"",IF($E37=BE37,5,0))</f>
        <v/>
      </c>
    </row>
    <row r="38" spans="2:58" x14ac:dyDescent="0.3">
      <c r="B38" s="38" t="s">
        <v>86</v>
      </c>
      <c r="C38" s="21"/>
      <c r="D38" s="15"/>
      <c r="E38" s="235"/>
      <c r="F38" s="236"/>
      <c r="G38" s="18"/>
      <c r="H38" s="9" t="str">
        <f>IF(ISBLANK($E38)=TRUE,"",IF($E38=G38,5,0))</f>
        <v/>
      </c>
      <c r="I38" s="18"/>
      <c r="J38" s="9" t="str">
        <f>IF(ISBLANK($E38)=TRUE,"",IF($E38=I38,5,0))</f>
        <v/>
      </c>
      <c r="K38" s="18"/>
      <c r="L38" s="9" t="str">
        <f>IF(ISBLANK($E38)=TRUE,"",IF($E38=K38,5,0))</f>
        <v/>
      </c>
      <c r="M38" s="18"/>
      <c r="N38" s="9" t="str">
        <f>IF(ISBLANK($E38)=TRUE,"",IF($E38=M38,5,0))</f>
        <v/>
      </c>
      <c r="O38" s="18"/>
      <c r="P38" s="9" t="str">
        <f>IF(ISBLANK($E38)=TRUE,"",IF($E38=O38,5,0))</f>
        <v/>
      </c>
      <c r="Q38" s="18"/>
      <c r="R38" s="9" t="str">
        <f>IF(ISBLANK($E38)=TRUE,"",IF($E38=Q38,5,0))</f>
        <v/>
      </c>
      <c r="S38" s="18"/>
      <c r="T38" s="9" t="str">
        <f>IF(ISBLANK($E38)=TRUE,"",IF($E38=S38,5,0))</f>
        <v/>
      </c>
      <c r="U38" s="18"/>
      <c r="V38" s="9" t="str">
        <f>IF(ISBLANK($E38)=TRUE,"",IF($E38=U38,5,0))</f>
        <v/>
      </c>
      <c r="W38" s="18"/>
      <c r="X38" s="9" t="str">
        <f>IF(ISBLANK($E38)=TRUE,"",IF($E38=W38,5,0))</f>
        <v/>
      </c>
      <c r="Y38" s="18"/>
      <c r="Z38" s="9" t="str">
        <f>IF(ISBLANK($E38)=TRUE,"",IF($E38=Y38,5,0))</f>
        <v/>
      </c>
      <c r="AA38" s="18"/>
      <c r="AB38" s="9" t="str">
        <f>IF(ISBLANK($E38)=TRUE,"",IF($E38=AA38,5,0))</f>
        <v/>
      </c>
      <c r="AC38" s="18"/>
      <c r="AD38" s="9" t="str">
        <f>IF(ISBLANK($E38)=TRUE,"",IF($E38=AC38,5,0))</f>
        <v/>
      </c>
      <c r="AE38" s="18"/>
      <c r="AF38" s="9" t="str">
        <f>IF(ISBLANK($E38)=TRUE,"",IF($E38=AE38,5,0))</f>
        <v/>
      </c>
      <c r="AG38" s="18"/>
      <c r="AH38" s="9" t="str">
        <f>IF(ISBLANK($E38)=TRUE,"",IF($E38=AG38,5,0))</f>
        <v/>
      </c>
      <c r="AI38" s="18"/>
      <c r="AJ38" s="9" t="str">
        <f>IF(ISBLANK($E38)=TRUE,"",IF($E38=AI38,5,0))</f>
        <v/>
      </c>
      <c r="AK38" s="18"/>
      <c r="AL38" s="9" t="str">
        <f>IF(ISBLANK($E38)=TRUE,"",IF($E38=AK38,5,0))</f>
        <v/>
      </c>
      <c r="AM38" s="18"/>
      <c r="AN38" s="9" t="str">
        <f>IF(ISBLANK($E38)=TRUE,"",IF($E38=AM38,5,0))</f>
        <v/>
      </c>
      <c r="AO38" s="18"/>
      <c r="AP38" s="9" t="str">
        <f>IF(ISBLANK($E38)=TRUE,"",IF($E38=AO38,5,0))</f>
        <v/>
      </c>
      <c r="AQ38" s="18"/>
      <c r="AR38" s="9" t="str">
        <f>IF(ISBLANK($E38)=TRUE,"",IF($E38=AQ38,5,0))</f>
        <v/>
      </c>
      <c r="AS38" s="18"/>
      <c r="AT38" s="9" t="str">
        <f>IF(ISBLANK($E38)=TRUE,"",IF($E38=AS38,5,0))</f>
        <v/>
      </c>
      <c r="AU38" s="18"/>
      <c r="AV38" s="9" t="str">
        <f>IF(ISBLANK($E38)=TRUE,"",IF($E38=AU38,5,0))</f>
        <v/>
      </c>
      <c r="AW38" s="18"/>
      <c r="AX38" s="9" t="str">
        <f>IF(ISBLANK($E38)=TRUE,"",IF($E38=AW38,5,0))</f>
        <v/>
      </c>
      <c r="AY38" s="18"/>
      <c r="AZ38" s="9" t="str">
        <f>IF(ISBLANK($E38)=TRUE,"",IF($E38=AY38,5,0))</f>
        <v/>
      </c>
      <c r="BA38" s="18"/>
      <c r="BB38" s="9" t="str">
        <f>IF(ISBLANK($E38)=TRUE,"",IF($E38=BA38,5,0))</f>
        <v/>
      </c>
      <c r="BC38" s="18"/>
      <c r="BD38" s="9" t="str">
        <f>IF(ISBLANK($E38)=TRUE,"",IF($E38=BC38,5,0))</f>
        <v/>
      </c>
      <c r="BE38" s="18"/>
      <c r="BF38" s="9" t="str">
        <f>IF(ISBLANK($E38)=TRUE,"",IF($E38=BE38,5,0))</f>
        <v/>
      </c>
    </row>
    <row r="39" spans="2:58" ht="15" thickBot="1" x14ac:dyDescent="0.35">
      <c r="B39" s="38" t="s">
        <v>87</v>
      </c>
      <c r="C39" s="21"/>
      <c r="D39" s="15"/>
      <c r="E39" s="239"/>
      <c r="F39" s="240"/>
      <c r="G39" s="18"/>
      <c r="H39" s="9" t="str">
        <f>IF(ISBLANK($E39)=TRUE,"",IF($E39=G39,5,0))</f>
        <v/>
      </c>
      <c r="I39" s="18"/>
      <c r="J39" s="9" t="str">
        <f>IF(ISBLANK($E39)=TRUE,"",IF($E39=I39,5,0))</f>
        <v/>
      </c>
      <c r="K39" s="18"/>
      <c r="L39" s="9" t="str">
        <f>IF(ISBLANK($E39)=TRUE,"",IF($E39=K39,5,0))</f>
        <v/>
      </c>
      <c r="M39" s="18"/>
      <c r="N39" s="9" t="str">
        <f>IF(ISBLANK($E39)=TRUE,"",IF($E39=M39,5,0))</f>
        <v/>
      </c>
      <c r="O39" s="18"/>
      <c r="P39" s="9" t="str">
        <f>IF(ISBLANK($E39)=TRUE,"",IF($E39=O39,5,0))</f>
        <v/>
      </c>
      <c r="Q39" s="18"/>
      <c r="R39" s="9" t="str">
        <f>IF(ISBLANK($E39)=TRUE,"",IF($E39=Q39,5,0))</f>
        <v/>
      </c>
      <c r="S39" s="18"/>
      <c r="T39" s="9" t="str">
        <f>IF(ISBLANK($E39)=TRUE,"",IF($E39=S39,5,0))</f>
        <v/>
      </c>
      <c r="U39" s="18"/>
      <c r="V39" s="9" t="str">
        <f>IF(ISBLANK($E39)=TRUE,"",IF($E39=U39,5,0))</f>
        <v/>
      </c>
      <c r="W39" s="18"/>
      <c r="X39" s="9" t="str">
        <f>IF(ISBLANK($E39)=TRUE,"",IF($E39=W39,5,0))</f>
        <v/>
      </c>
      <c r="Y39" s="18"/>
      <c r="Z39" s="9" t="str">
        <f>IF(ISBLANK($E39)=TRUE,"",IF($E39=Y39,5,0))</f>
        <v/>
      </c>
      <c r="AA39" s="18"/>
      <c r="AB39" s="9" t="str">
        <f>IF(ISBLANK($E39)=TRUE,"",IF($E39=AA39,5,0))</f>
        <v/>
      </c>
      <c r="AC39" s="18"/>
      <c r="AD39" s="9" t="str">
        <f>IF(ISBLANK($E39)=TRUE,"",IF($E39=AC39,5,0))</f>
        <v/>
      </c>
      <c r="AE39" s="18"/>
      <c r="AF39" s="9" t="str">
        <f>IF(ISBLANK($E39)=TRUE,"",IF($E39=AE39,5,0))</f>
        <v/>
      </c>
      <c r="AG39" s="18"/>
      <c r="AH39" s="9" t="str">
        <f>IF(ISBLANK($E39)=TRUE,"",IF($E39=AG39,5,0))</f>
        <v/>
      </c>
      <c r="AI39" s="18"/>
      <c r="AJ39" s="9" t="str">
        <f>IF(ISBLANK($E39)=TRUE,"",IF($E39=AI39,5,0))</f>
        <v/>
      </c>
      <c r="AK39" s="18"/>
      <c r="AL39" s="9" t="str">
        <f>IF(ISBLANK($E39)=TRUE,"",IF($E39=AK39,5,0))</f>
        <v/>
      </c>
      <c r="AM39" s="18"/>
      <c r="AN39" s="9" t="str">
        <f>IF(ISBLANK($E39)=TRUE,"",IF($E39=AM39,5,0))</f>
        <v/>
      </c>
      <c r="AO39" s="18"/>
      <c r="AP39" s="9" t="str">
        <f>IF(ISBLANK($E39)=TRUE,"",IF($E39=AO39,5,0))</f>
        <v/>
      </c>
      <c r="AQ39" s="18"/>
      <c r="AR39" s="9" t="str">
        <f>IF(ISBLANK($E39)=TRUE,"",IF($E39=AQ39,5,0))</f>
        <v/>
      </c>
      <c r="AS39" s="18"/>
      <c r="AT39" s="9" t="str">
        <f>IF(ISBLANK($E39)=TRUE,"",IF($E39=AS39,5,0))</f>
        <v/>
      </c>
      <c r="AU39" s="18"/>
      <c r="AV39" s="9" t="str">
        <f>IF(ISBLANK($E39)=TRUE,"",IF($E39=AU39,5,0))</f>
        <v/>
      </c>
      <c r="AW39" s="18"/>
      <c r="AX39" s="9" t="str">
        <f>IF(ISBLANK($E39)=TRUE,"",IF($E39=AW39,5,0))</f>
        <v/>
      </c>
      <c r="AY39" s="18"/>
      <c r="AZ39" s="9" t="str">
        <f>IF(ISBLANK($E39)=TRUE,"",IF($E39=AY39,5,0))</f>
        <v/>
      </c>
      <c r="BA39" s="18"/>
      <c r="BB39" s="9" t="str">
        <f>IF(ISBLANK($E39)=TRUE,"",IF($E39=BA39,5,0))</f>
        <v/>
      </c>
      <c r="BC39" s="18"/>
      <c r="BD39" s="9" t="str">
        <f>IF(ISBLANK($E39)=TRUE,"",IF($E39=BC39,5,0))</f>
        <v/>
      </c>
      <c r="BE39" s="18"/>
      <c r="BF39" s="9" t="str">
        <f>IF(ISBLANK($E39)=TRUE,"",IF($E39=BE39,5,0))</f>
        <v/>
      </c>
    </row>
    <row r="40" spans="2:58" ht="15" thickBot="1" x14ac:dyDescent="0.35">
      <c r="B40" s="157" t="s">
        <v>134</v>
      </c>
      <c r="C40" s="158"/>
      <c r="D40" s="159"/>
      <c r="E40" s="157"/>
      <c r="F40" s="159"/>
      <c r="G40" s="62"/>
      <c r="H40" s="63"/>
      <c r="I40" s="65"/>
      <c r="J40" s="66"/>
      <c r="K40" s="68"/>
      <c r="L40" s="69"/>
      <c r="M40" s="110"/>
      <c r="N40" s="111"/>
      <c r="O40" s="71"/>
      <c r="P40" s="72"/>
      <c r="Q40" s="74"/>
      <c r="R40" s="75"/>
      <c r="S40" s="77"/>
      <c r="T40" s="78"/>
      <c r="U40" s="80"/>
      <c r="V40" s="81"/>
      <c r="W40" s="42"/>
      <c r="X40" s="43"/>
      <c r="Y40" s="83"/>
      <c r="Z40" s="84"/>
      <c r="AA40" s="86"/>
      <c r="AB40" s="87"/>
      <c r="AC40" s="89"/>
      <c r="AD40" s="90"/>
      <c r="AE40" s="92"/>
      <c r="AF40" s="93"/>
      <c r="AG40" s="95"/>
      <c r="AH40" s="96"/>
      <c r="AI40" s="36"/>
      <c r="AJ40" s="35"/>
      <c r="AK40" s="80"/>
      <c r="AL40" s="81"/>
      <c r="AM40" s="98"/>
      <c r="AN40" s="99"/>
      <c r="AO40" s="42"/>
      <c r="AP40" s="43"/>
      <c r="AQ40" s="101"/>
      <c r="AR40" s="102"/>
      <c r="AS40" s="104"/>
      <c r="AT40" s="105"/>
      <c r="AU40" s="110"/>
      <c r="AV40" s="111"/>
      <c r="AW40" s="141"/>
      <c r="AX40" s="142"/>
      <c r="AY40" s="86"/>
      <c r="AZ40" s="87"/>
      <c r="BA40" s="134"/>
      <c r="BB40" s="135"/>
      <c r="BC40" s="145"/>
      <c r="BD40" s="146"/>
      <c r="BE40" s="151"/>
      <c r="BF40" s="152"/>
    </row>
    <row r="41" spans="2:58" x14ac:dyDescent="0.3">
      <c r="B41" s="37" t="s">
        <v>85</v>
      </c>
      <c r="C41" s="20"/>
      <c r="D41" s="14"/>
      <c r="E41" s="237"/>
      <c r="F41" s="238"/>
      <c r="G41" s="17"/>
      <c r="H41" s="11" t="str">
        <f>IF(ISBLANK($E41)=TRUE,"",IF($E41=G41,5,0))</f>
        <v/>
      </c>
      <c r="I41" s="17"/>
      <c r="J41" s="11" t="str">
        <f>IF(ISBLANK($E41)=TRUE,"",IF($E41=I41,5,0))</f>
        <v/>
      </c>
      <c r="K41" s="17"/>
      <c r="L41" s="11" t="str">
        <f>IF(ISBLANK($E41)=TRUE,"",IF($E41=K41,5,0))</f>
        <v/>
      </c>
      <c r="M41" s="17"/>
      <c r="N41" s="11" t="str">
        <f>IF(ISBLANK($E41)=TRUE,"",IF($E41=M41,5,0))</f>
        <v/>
      </c>
      <c r="O41" s="17"/>
      <c r="P41" s="11" t="str">
        <f>IF(ISBLANK($E41)=TRUE,"",IF($E41=O41,5,0))</f>
        <v/>
      </c>
      <c r="Q41" s="17"/>
      <c r="R41" s="11" t="str">
        <f>IF(ISBLANK($E41)=TRUE,"",IF($E41=Q41,5,0))</f>
        <v/>
      </c>
      <c r="S41" s="17"/>
      <c r="T41" s="11" t="str">
        <f>IF(ISBLANK($E41)=TRUE,"",IF($E41=S41,5,0))</f>
        <v/>
      </c>
      <c r="U41" s="17"/>
      <c r="V41" s="11" t="str">
        <f>IF(ISBLANK($E41)=TRUE,"",IF($E41=U41,5,0))</f>
        <v/>
      </c>
      <c r="W41" s="17"/>
      <c r="X41" s="11" t="str">
        <f>IF(ISBLANK($E41)=TRUE,"",IF($E41=W41,5,0))</f>
        <v/>
      </c>
      <c r="Y41" s="17"/>
      <c r="Z41" s="11" t="str">
        <f>IF(ISBLANK($E41)=TRUE,"",IF($E41=Y41,5,0))</f>
        <v/>
      </c>
      <c r="AA41" s="17"/>
      <c r="AB41" s="11" t="str">
        <f>IF(ISBLANK($E41)=TRUE,"",IF($E41=AA41,5,0))</f>
        <v/>
      </c>
      <c r="AC41" s="17"/>
      <c r="AD41" s="11" t="str">
        <f>IF(ISBLANK($E41)=TRUE,"",IF($E41=AC41,5,0))</f>
        <v/>
      </c>
      <c r="AE41" s="17"/>
      <c r="AF41" s="11" t="str">
        <f>IF(ISBLANK($E41)=TRUE,"",IF($E41=AE41,5,0))</f>
        <v/>
      </c>
      <c r="AG41" s="17"/>
      <c r="AH41" s="11" t="str">
        <f>IF(ISBLANK($E41)=TRUE,"",IF($E41=AG41,5,0))</f>
        <v/>
      </c>
      <c r="AI41" s="17"/>
      <c r="AJ41" s="11" t="str">
        <f>IF(ISBLANK($E41)=TRUE,"",IF($E41=AI41,5,0))</f>
        <v/>
      </c>
      <c r="AK41" s="17"/>
      <c r="AL41" s="11" t="str">
        <f>IF(ISBLANK($E41)=TRUE,"",IF($E41=AK41,5,0))</f>
        <v/>
      </c>
      <c r="AM41" s="17"/>
      <c r="AN41" s="11" t="str">
        <f>IF(ISBLANK($E41)=TRUE,"",IF($E41=AM41,5,0))</f>
        <v/>
      </c>
      <c r="AO41" s="17"/>
      <c r="AP41" s="11" t="str">
        <f>IF(ISBLANK($E41)=TRUE,"",IF($E41=AO41,5,0))</f>
        <v/>
      </c>
      <c r="AQ41" s="17"/>
      <c r="AR41" s="11" t="str">
        <f>IF(ISBLANK($E41)=TRUE,"",IF($E41=AQ41,5,0))</f>
        <v/>
      </c>
      <c r="AS41" s="17"/>
      <c r="AT41" s="11" t="str">
        <f>IF(ISBLANK($E41)=TRUE,"",IF($E41=AS41,5,0))</f>
        <v/>
      </c>
      <c r="AU41" s="17"/>
      <c r="AV41" s="11" t="str">
        <f>IF(ISBLANK($E41)=TRUE,"",IF($E41=AU41,5,0))</f>
        <v/>
      </c>
      <c r="AW41" s="17"/>
      <c r="AX41" s="11" t="str">
        <f>IF(ISBLANK($E41)=TRUE,"",IF($E41=AW41,5,0))</f>
        <v/>
      </c>
      <c r="AY41" s="17"/>
      <c r="AZ41" s="11" t="str">
        <f>IF(ISBLANK($E41)=TRUE,"",IF($E41=AY41,5,0))</f>
        <v/>
      </c>
      <c r="BA41" s="17"/>
      <c r="BB41" s="11" t="str">
        <f>IF(ISBLANK($E41)=TRUE,"",IF($E41=BA41,5,0))</f>
        <v/>
      </c>
      <c r="BC41" s="17"/>
      <c r="BD41" s="11" t="str">
        <f>IF(ISBLANK($E41)=TRUE,"",IF($E41=BC41,5,0))</f>
        <v/>
      </c>
      <c r="BE41" s="17"/>
      <c r="BF41" s="11" t="str">
        <f>IF(ISBLANK($E41)=TRUE,"",IF($E41=BE41,5,0))</f>
        <v/>
      </c>
    </row>
    <row r="42" spans="2:58" x14ac:dyDescent="0.3">
      <c r="B42" s="38" t="s">
        <v>86</v>
      </c>
      <c r="C42" s="21"/>
      <c r="D42" s="15"/>
      <c r="E42" s="235"/>
      <c r="F42" s="236"/>
      <c r="G42" s="18"/>
      <c r="H42" s="9" t="str">
        <f>IF(ISBLANK($E42)=TRUE,"",IF($E42=G42,5,0))</f>
        <v/>
      </c>
      <c r="I42" s="18"/>
      <c r="J42" s="9" t="str">
        <f>IF(ISBLANK($E42)=TRUE,"",IF($E42=I42,5,0))</f>
        <v/>
      </c>
      <c r="K42" s="18"/>
      <c r="L42" s="9" t="str">
        <f>IF(ISBLANK($E42)=TRUE,"",IF($E42=K42,5,0))</f>
        <v/>
      </c>
      <c r="M42" s="18"/>
      <c r="N42" s="9" t="str">
        <f>IF(ISBLANK($E42)=TRUE,"",IF($E42=M42,5,0))</f>
        <v/>
      </c>
      <c r="O42" s="18"/>
      <c r="P42" s="9" t="str">
        <f>IF(ISBLANK($E42)=TRUE,"",IF($E42=O42,5,0))</f>
        <v/>
      </c>
      <c r="Q42" s="18"/>
      <c r="R42" s="9" t="str">
        <f>IF(ISBLANK($E42)=TRUE,"",IF($E42=Q42,5,0))</f>
        <v/>
      </c>
      <c r="S42" s="18"/>
      <c r="T42" s="9" t="str">
        <f>IF(ISBLANK($E42)=TRUE,"",IF($E42=S42,5,0))</f>
        <v/>
      </c>
      <c r="U42" s="18"/>
      <c r="V42" s="9" t="str">
        <f>IF(ISBLANK($E42)=TRUE,"",IF($E42=U42,5,0))</f>
        <v/>
      </c>
      <c r="W42" s="18"/>
      <c r="X42" s="9" t="str">
        <f>IF(ISBLANK($E42)=TRUE,"",IF($E42=W42,5,0))</f>
        <v/>
      </c>
      <c r="Y42" s="18"/>
      <c r="Z42" s="9" t="str">
        <f>IF(ISBLANK($E42)=TRUE,"",IF($E42=Y42,5,0))</f>
        <v/>
      </c>
      <c r="AA42" s="18"/>
      <c r="AB42" s="9" t="str">
        <f>IF(ISBLANK($E42)=TRUE,"",IF($E42=AA42,5,0))</f>
        <v/>
      </c>
      <c r="AC42" s="18"/>
      <c r="AD42" s="9" t="str">
        <f>IF(ISBLANK($E42)=TRUE,"",IF($E42=AC42,5,0))</f>
        <v/>
      </c>
      <c r="AE42" s="18"/>
      <c r="AF42" s="9" t="str">
        <f>IF(ISBLANK($E42)=TRUE,"",IF($E42=AE42,5,0))</f>
        <v/>
      </c>
      <c r="AG42" s="18"/>
      <c r="AH42" s="9" t="str">
        <f>IF(ISBLANK($E42)=TRUE,"",IF($E42=AG42,5,0))</f>
        <v/>
      </c>
      <c r="AI42" s="18"/>
      <c r="AJ42" s="9" t="str">
        <f>IF(ISBLANK($E42)=TRUE,"",IF($E42=AI42,5,0))</f>
        <v/>
      </c>
      <c r="AK42" s="18"/>
      <c r="AL42" s="9" t="str">
        <f>IF(ISBLANK($E42)=TRUE,"",IF($E42=AK42,5,0))</f>
        <v/>
      </c>
      <c r="AM42" s="18"/>
      <c r="AN42" s="9" t="str">
        <f>IF(ISBLANK($E42)=TRUE,"",IF($E42=AM42,5,0))</f>
        <v/>
      </c>
      <c r="AO42" s="18"/>
      <c r="AP42" s="9" t="str">
        <f>IF(ISBLANK($E42)=TRUE,"",IF($E42=AO42,5,0))</f>
        <v/>
      </c>
      <c r="AQ42" s="18"/>
      <c r="AR42" s="9" t="str">
        <f>IF(ISBLANK($E42)=TRUE,"",IF($E42=AQ42,5,0))</f>
        <v/>
      </c>
      <c r="AS42" s="18"/>
      <c r="AT42" s="9" t="str">
        <f>IF(ISBLANK($E42)=TRUE,"",IF($E42=AS42,5,0))</f>
        <v/>
      </c>
      <c r="AU42" s="18"/>
      <c r="AV42" s="9" t="str">
        <f>IF(ISBLANK($E42)=TRUE,"",IF($E42=AU42,5,0))</f>
        <v/>
      </c>
      <c r="AW42" s="18"/>
      <c r="AX42" s="9" t="str">
        <f>IF(ISBLANK($E42)=TRUE,"",IF($E42=AW42,5,0))</f>
        <v/>
      </c>
      <c r="AY42" s="18"/>
      <c r="AZ42" s="9" t="str">
        <f>IF(ISBLANK($E42)=TRUE,"",IF($E42=AY42,5,0))</f>
        <v/>
      </c>
      <c r="BA42" s="18"/>
      <c r="BB42" s="9" t="str">
        <f>IF(ISBLANK($E42)=TRUE,"",IF($E42=BA42,5,0))</f>
        <v/>
      </c>
      <c r="BC42" s="18"/>
      <c r="BD42" s="9" t="str">
        <f>IF(ISBLANK($E42)=TRUE,"",IF($E42=BC42,5,0))</f>
        <v/>
      </c>
      <c r="BE42" s="18"/>
      <c r="BF42" s="9" t="str">
        <f>IF(ISBLANK($E42)=TRUE,"",IF($E42=BE42,5,0))</f>
        <v/>
      </c>
    </row>
    <row r="43" spans="2:58" ht="15" thickBot="1" x14ac:dyDescent="0.35">
      <c r="B43" s="39" t="s">
        <v>87</v>
      </c>
      <c r="C43" s="22"/>
      <c r="D43" s="16"/>
      <c r="E43" s="239"/>
      <c r="F43" s="240"/>
      <c r="G43" s="19"/>
      <c r="H43" s="10" t="str">
        <f>IF(ISBLANK($E43)=TRUE,"",IF($E43=G43,5,0))</f>
        <v/>
      </c>
      <c r="I43" s="19"/>
      <c r="J43" s="10" t="str">
        <f>IF(ISBLANK($E43)=TRUE,"",IF($E43=I43,5,0))</f>
        <v/>
      </c>
      <c r="K43" s="19"/>
      <c r="L43" s="10" t="str">
        <f>IF(ISBLANK($E43)=TRUE,"",IF($E43=K43,5,0))</f>
        <v/>
      </c>
      <c r="M43" s="19"/>
      <c r="N43" s="10" t="str">
        <f>IF(ISBLANK($E43)=TRUE,"",IF($E43=M43,5,0))</f>
        <v/>
      </c>
      <c r="O43" s="19"/>
      <c r="P43" s="10" t="str">
        <f>IF(ISBLANK($E43)=TRUE,"",IF($E43=O43,5,0))</f>
        <v/>
      </c>
      <c r="Q43" s="19"/>
      <c r="R43" s="10" t="str">
        <f>IF(ISBLANK($E43)=TRUE,"",IF($E43=Q43,5,0))</f>
        <v/>
      </c>
      <c r="S43" s="19"/>
      <c r="T43" s="10" t="str">
        <f>IF(ISBLANK($E43)=TRUE,"",IF($E43=S43,5,0))</f>
        <v/>
      </c>
      <c r="U43" s="19"/>
      <c r="V43" s="10" t="str">
        <f>IF(ISBLANK($E43)=TRUE,"",IF($E43=U43,5,0))</f>
        <v/>
      </c>
      <c r="W43" s="19"/>
      <c r="X43" s="10" t="str">
        <f>IF(ISBLANK($E43)=TRUE,"",IF($E43=W43,5,0))</f>
        <v/>
      </c>
      <c r="Y43" s="19"/>
      <c r="Z43" s="10" t="str">
        <f>IF(ISBLANK($E43)=TRUE,"",IF($E43=Y43,5,0))</f>
        <v/>
      </c>
      <c r="AA43" s="19"/>
      <c r="AB43" s="10" t="str">
        <f>IF(ISBLANK($E43)=TRUE,"",IF($E43=AA43,5,0))</f>
        <v/>
      </c>
      <c r="AC43" s="19"/>
      <c r="AD43" s="10" t="str">
        <f>IF(ISBLANK($E43)=TRUE,"",IF($E43=AC43,5,0))</f>
        <v/>
      </c>
      <c r="AE43" s="19"/>
      <c r="AF43" s="10" t="str">
        <f>IF(ISBLANK($E43)=TRUE,"",IF($E43=AE43,5,0))</f>
        <v/>
      </c>
      <c r="AG43" s="19"/>
      <c r="AH43" s="10" t="str">
        <f>IF(ISBLANK($E43)=TRUE,"",IF($E43=AG43,5,0))</f>
        <v/>
      </c>
      <c r="AI43" s="19"/>
      <c r="AJ43" s="10" t="str">
        <f>IF(ISBLANK($E43)=TRUE,"",IF($E43=AI43,5,0))</f>
        <v/>
      </c>
      <c r="AK43" s="19"/>
      <c r="AL43" s="10" t="str">
        <f>IF(ISBLANK($E43)=TRUE,"",IF($E43=AK43,5,0))</f>
        <v/>
      </c>
      <c r="AM43" s="19"/>
      <c r="AN43" s="10" t="str">
        <f>IF(ISBLANK($E43)=TRUE,"",IF($E43=AM43,5,0))</f>
        <v/>
      </c>
      <c r="AO43" s="19"/>
      <c r="AP43" s="10" t="str">
        <f>IF(ISBLANK($E43)=TRUE,"",IF($E43=AO43,5,0))</f>
        <v/>
      </c>
      <c r="AQ43" s="19"/>
      <c r="AR43" s="10" t="str">
        <f>IF(ISBLANK($E43)=TRUE,"",IF($E43=AQ43,5,0))</f>
        <v/>
      </c>
      <c r="AS43" s="19"/>
      <c r="AT43" s="10" t="str">
        <f>IF(ISBLANK($E43)=TRUE,"",IF($E43=AS43,5,0))</f>
        <v/>
      </c>
      <c r="AU43" s="19"/>
      <c r="AV43" s="10" t="str">
        <f>IF(ISBLANK($E43)=TRUE,"",IF($E43=AU43,5,0))</f>
        <v/>
      </c>
      <c r="AW43" s="19"/>
      <c r="AX43" s="10" t="str">
        <f>IF(ISBLANK($E43)=TRUE,"",IF($E43=AW43,5,0))</f>
        <v/>
      </c>
      <c r="AY43" s="19"/>
      <c r="AZ43" s="10" t="str">
        <f>IF(ISBLANK($E43)=TRUE,"",IF($E43=AY43,5,0))</f>
        <v/>
      </c>
      <c r="BA43" s="19"/>
      <c r="BB43" s="10" t="str">
        <f>IF(ISBLANK($E43)=TRUE,"",IF($E43=BA43,5,0))</f>
        <v/>
      </c>
      <c r="BC43" s="19"/>
      <c r="BD43" s="10" t="str">
        <f>IF(ISBLANK($E43)=TRUE,"",IF($E43=BC43,5,0))</f>
        <v/>
      </c>
      <c r="BE43" s="19"/>
      <c r="BF43" s="10" t="str">
        <f>IF(ISBLANK($E43)=TRUE,"",IF($E43=BE43,5,0))</f>
        <v/>
      </c>
    </row>
    <row r="44" spans="2:58" ht="15" thickBot="1" x14ac:dyDescent="0.35">
      <c r="B44" s="157" t="s">
        <v>135</v>
      </c>
      <c r="C44" s="158"/>
      <c r="D44" s="158"/>
      <c r="E44" s="158"/>
      <c r="F44" s="159"/>
      <c r="G44" s="160">
        <f>SUM(H3:H43)</f>
        <v>0</v>
      </c>
      <c r="H44" s="162"/>
      <c r="I44" s="166">
        <f>SUM(J3:J43)</f>
        <v>0</v>
      </c>
      <c r="J44" s="168"/>
      <c r="K44" s="172">
        <f>SUM(L3:L43)</f>
        <v>0</v>
      </c>
      <c r="L44" s="174"/>
      <c r="M44" s="175">
        <f>SUM(N3:N43)</f>
        <v>0</v>
      </c>
      <c r="N44" s="177"/>
      <c r="O44" s="169">
        <f>SUM(P3:P43)</f>
        <v>0</v>
      </c>
      <c r="P44" s="171"/>
      <c r="Q44" s="178">
        <f>SUM(R3:R43)</f>
        <v>0</v>
      </c>
      <c r="R44" s="180"/>
      <c r="S44" s="181">
        <f>SUM(T3:T43)</f>
        <v>0</v>
      </c>
      <c r="T44" s="183"/>
      <c r="U44" s="190">
        <f>SUM(V3:V43)</f>
        <v>0</v>
      </c>
      <c r="V44" s="192"/>
      <c r="W44" s="193">
        <f>SUM(X3:X43)</f>
        <v>0</v>
      </c>
      <c r="X44" s="195"/>
      <c r="Y44" s="196">
        <f>SUM(Z3:Z43)</f>
        <v>0</v>
      </c>
      <c r="Z44" s="198"/>
      <c r="AA44" s="166">
        <f>SUM(AB3:AB43)</f>
        <v>0</v>
      </c>
      <c r="AB44" s="168"/>
      <c r="AC44" s="187">
        <f>SUM(AD3:AD43)</f>
        <v>2</v>
      </c>
      <c r="AD44" s="189"/>
      <c r="AE44" s="202">
        <f>SUM(AF3:AF43)</f>
        <v>0</v>
      </c>
      <c r="AF44" s="204"/>
      <c r="AG44" s="208">
        <f>SUM(AH3:AH43)</f>
        <v>0</v>
      </c>
      <c r="AH44" s="210"/>
      <c r="AI44" s="211">
        <f>SUM(AJ3:AJ43)</f>
        <v>0</v>
      </c>
      <c r="AJ44" s="213"/>
      <c r="AK44" s="190">
        <f>SUM(AL3:AL43)</f>
        <v>0</v>
      </c>
      <c r="AL44" s="192"/>
      <c r="AM44" s="223">
        <f>SUM(AN3:AN43)</f>
        <v>0</v>
      </c>
      <c r="AN44" s="225"/>
      <c r="AO44" s="193">
        <f>SUM(AP3:AP43)</f>
        <v>0</v>
      </c>
      <c r="AP44" s="195"/>
      <c r="AQ44" s="199">
        <f>SUM(AR3:AR43)</f>
        <v>0</v>
      </c>
      <c r="AR44" s="201"/>
      <c r="AS44" s="217">
        <f>SUM(AT3:AT43)</f>
        <v>0</v>
      </c>
      <c r="AT44" s="219"/>
      <c r="AU44" s="175">
        <f>SUM(AV3:AV43)</f>
        <v>2</v>
      </c>
      <c r="AV44" s="177"/>
      <c r="AW44" s="229">
        <f>SUM(AX3:AX43)</f>
        <v>0</v>
      </c>
      <c r="AX44" s="231"/>
      <c r="AY44" s="166">
        <f>SUM(AZ3:AZ43)</f>
        <v>0</v>
      </c>
      <c r="AZ44" s="168"/>
      <c r="BA44" s="160">
        <f>SUM(BB3:BB43)</f>
        <v>0</v>
      </c>
      <c r="BB44" s="162"/>
      <c r="BC44" s="226">
        <f>SUM(BD3:BD43)</f>
        <v>0</v>
      </c>
      <c r="BD44" s="228"/>
      <c r="BE44" s="169">
        <f>SUM(BF3:BF43)</f>
        <v>0</v>
      </c>
      <c r="BF44" s="171"/>
    </row>
  </sheetData>
  <mergeCells count="97">
    <mergeCell ref="AK2:AL2"/>
    <mergeCell ref="AM2:AN2"/>
    <mergeCell ref="AO2:AP2"/>
    <mergeCell ref="AQ2:AR2"/>
    <mergeCell ref="AS2:AT2"/>
    <mergeCell ref="AA2:AB2"/>
    <mergeCell ref="AC2:AD2"/>
    <mergeCell ref="AE2:AF2"/>
    <mergeCell ref="AG2:AH2"/>
    <mergeCell ref="AI2:AJ2"/>
    <mergeCell ref="Q2:R2"/>
    <mergeCell ref="S2:T2"/>
    <mergeCell ref="U2:V2"/>
    <mergeCell ref="W2:X2"/>
    <mergeCell ref="Y2:Z2"/>
    <mergeCell ref="E15:F15"/>
    <mergeCell ref="E10:F10"/>
    <mergeCell ref="E7:F7"/>
    <mergeCell ref="E42:F42"/>
    <mergeCell ref="E43:F43"/>
    <mergeCell ref="E27:F27"/>
    <mergeCell ref="E26:F26"/>
    <mergeCell ref="E25:F25"/>
    <mergeCell ref="E39:F39"/>
    <mergeCell ref="E41:F41"/>
    <mergeCell ref="E23:F23"/>
    <mergeCell ref="E22:F22"/>
    <mergeCell ref="E36:F36"/>
    <mergeCell ref="E32:F32"/>
    <mergeCell ref="E28:F28"/>
    <mergeCell ref="E24:F24"/>
    <mergeCell ref="B40:D40"/>
    <mergeCell ref="B28:D28"/>
    <mergeCell ref="B32:D32"/>
    <mergeCell ref="B36:D36"/>
    <mergeCell ref="E29:F29"/>
    <mergeCell ref="E30:F30"/>
    <mergeCell ref="E31:F31"/>
    <mergeCell ref="E33:F33"/>
    <mergeCell ref="E34:F34"/>
    <mergeCell ref="E35:F35"/>
    <mergeCell ref="E37:F37"/>
    <mergeCell ref="E38:F38"/>
    <mergeCell ref="B44:F44"/>
    <mergeCell ref="E40:F40"/>
    <mergeCell ref="G2:H2"/>
    <mergeCell ref="B2:D2"/>
    <mergeCell ref="B24:D24"/>
    <mergeCell ref="E2:F2"/>
    <mergeCell ref="E3:F3"/>
    <mergeCell ref="E4:F4"/>
    <mergeCell ref="E5:F5"/>
    <mergeCell ref="E6:F6"/>
    <mergeCell ref="E21:F21"/>
    <mergeCell ref="E20:F20"/>
    <mergeCell ref="E19:F19"/>
    <mergeCell ref="E18:F18"/>
    <mergeCell ref="E17:F17"/>
    <mergeCell ref="E16:F16"/>
    <mergeCell ref="E13:F14"/>
    <mergeCell ref="E11:F12"/>
    <mergeCell ref="O2:P2"/>
    <mergeCell ref="I2:J2"/>
    <mergeCell ref="K2:L2"/>
    <mergeCell ref="M2:N2"/>
    <mergeCell ref="I44:J44"/>
    <mergeCell ref="G44:H44"/>
    <mergeCell ref="AK44:AL44"/>
    <mergeCell ref="AI44:AJ44"/>
    <mergeCell ref="AG44:AH44"/>
    <mergeCell ref="AE44:AF44"/>
    <mergeCell ref="S44:T44"/>
    <mergeCell ref="Q44:R44"/>
    <mergeCell ref="O44:P44"/>
    <mergeCell ref="M44:N44"/>
    <mergeCell ref="K44:L44"/>
    <mergeCell ref="AC44:AD44"/>
    <mergeCell ref="AA44:AB44"/>
    <mergeCell ref="Y44:Z44"/>
    <mergeCell ref="W44:X44"/>
    <mergeCell ref="U44:V44"/>
    <mergeCell ref="AS44:AT44"/>
    <mergeCell ref="AQ44:AR44"/>
    <mergeCell ref="AO44:AP44"/>
    <mergeCell ref="AM44:AN44"/>
    <mergeCell ref="BE2:BF2"/>
    <mergeCell ref="BE44:BF44"/>
    <mergeCell ref="BC44:BD44"/>
    <mergeCell ref="BA44:BB44"/>
    <mergeCell ref="AY44:AZ44"/>
    <mergeCell ref="AW44:AX44"/>
    <mergeCell ref="AU44:AV44"/>
    <mergeCell ref="AU2:AV2"/>
    <mergeCell ref="AW2:AX2"/>
    <mergeCell ref="AY2:AZ2"/>
    <mergeCell ref="BA2:BB2"/>
    <mergeCell ref="BC2:BD2"/>
  </mergeCells>
  <phoneticPr fontId="3" type="noConversion"/>
  <conditionalFormatting sqref="H3:H23">
    <cfRule type="cellIs" dxfId="331" priority="332" operator="greaterThan">
      <formula>0.5</formula>
    </cfRule>
    <cfRule type="containsBlanks" dxfId="330" priority="331">
      <formula>LEN(TRIM(H3))=0</formula>
    </cfRule>
  </conditionalFormatting>
  <conditionalFormatting sqref="H25:H27">
    <cfRule type="cellIs" dxfId="329" priority="330" operator="greaterThan">
      <formula>0.5</formula>
    </cfRule>
    <cfRule type="containsBlanks" dxfId="328" priority="329">
      <formula>LEN(TRIM(H25))=0</formula>
    </cfRule>
  </conditionalFormatting>
  <conditionalFormatting sqref="H29:H31">
    <cfRule type="cellIs" dxfId="327" priority="328" operator="greaterThan">
      <formula>0.5</formula>
    </cfRule>
    <cfRule type="containsBlanks" dxfId="326" priority="327">
      <formula>LEN(TRIM(H29))=0</formula>
    </cfRule>
  </conditionalFormatting>
  <conditionalFormatting sqref="H33:H35">
    <cfRule type="cellIs" dxfId="325" priority="326" operator="greaterThan">
      <formula>0.5</formula>
    </cfRule>
    <cfRule type="containsBlanks" dxfId="324" priority="325">
      <formula>LEN(TRIM(H33))=0</formula>
    </cfRule>
  </conditionalFormatting>
  <conditionalFormatting sqref="H37:H39">
    <cfRule type="cellIs" dxfId="323" priority="324" operator="greaterThan">
      <formula>0.5</formula>
    </cfRule>
    <cfRule type="containsBlanks" dxfId="322" priority="323">
      <formula>LEN(TRIM(H37))=0</formula>
    </cfRule>
  </conditionalFormatting>
  <conditionalFormatting sqref="H41:H43">
    <cfRule type="cellIs" dxfId="321" priority="322" operator="greaterThan">
      <formula>0.5</formula>
    </cfRule>
    <cfRule type="containsBlanks" dxfId="320" priority="321">
      <formula>LEN(TRIM(H41))=0</formula>
    </cfRule>
  </conditionalFormatting>
  <conditionalFormatting sqref="J3:J23">
    <cfRule type="cellIs" dxfId="319" priority="320" operator="greaterThan">
      <formula>0.5</formula>
    </cfRule>
    <cfRule type="containsBlanks" dxfId="318" priority="319">
      <formula>LEN(TRIM(J3))=0</formula>
    </cfRule>
  </conditionalFormatting>
  <conditionalFormatting sqref="J25:J27">
    <cfRule type="cellIs" dxfId="317" priority="318" operator="greaterThan">
      <formula>0.5</formula>
    </cfRule>
    <cfRule type="containsBlanks" dxfId="316" priority="317">
      <formula>LEN(TRIM(J25))=0</formula>
    </cfRule>
  </conditionalFormatting>
  <conditionalFormatting sqref="J29:J31">
    <cfRule type="cellIs" dxfId="315" priority="316" operator="greaterThan">
      <formula>0.5</formula>
    </cfRule>
    <cfRule type="containsBlanks" dxfId="314" priority="315">
      <formula>LEN(TRIM(J29))=0</formula>
    </cfRule>
  </conditionalFormatting>
  <conditionalFormatting sqref="J33:J35">
    <cfRule type="cellIs" dxfId="313" priority="314" operator="greaterThan">
      <formula>0.5</formula>
    </cfRule>
    <cfRule type="containsBlanks" dxfId="312" priority="313">
      <formula>LEN(TRIM(J33))=0</formula>
    </cfRule>
  </conditionalFormatting>
  <conditionalFormatting sqref="J37:J39">
    <cfRule type="cellIs" dxfId="311" priority="312" operator="greaterThan">
      <formula>0.5</formula>
    </cfRule>
    <cfRule type="containsBlanks" dxfId="310" priority="311">
      <formula>LEN(TRIM(J37))=0</formula>
    </cfRule>
  </conditionalFormatting>
  <conditionalFormatting sqref="J41:J43">
    <cfRule type="cellIs" dxfId="309" priority="310" operator="greaterThan">
      <formula>0.5</formula>
    </cfRule>
    <cfRule type="containsBlanks" dxfId="308" priority="309">
      <formula>LEN(TRIM(J41))=0</formula>
    </cfRule>
  </conditionalFormatting>
  <conditionalFormatting sqref="L3:L23">
    <cfRule type="cellIs" dxfId="307" priority="308" operator="greaterThan">
      <formula>0.5</formula>
    </cfRule>
    <cfRule type="containsBlanks" dxfId="306" priority="307">
      <formula>LEN(TRIM(L3))=0</formula>
    </cfRule>
  </conditionalFormatting>
  <conditionalFormatting sqref="L25:L27">
    <cfRule type="cellIs" dxfId="305" priority="306" operator="greaterThan">
      <formula>0.5</formula>
    </cfRule>
    <cfRule type="containsBlanks" dxfId="304" priority="305">
      <formula>LEN(TRIM(L25))=0</formula>
    </cfRule>
  </conditionalFormatting>
  <conditionalFormatting sqref="L29:L31">
    <cfRule type="cellIs" dxfId="303" priority="304" operator="greaterThan">
      <formula>0.5</formula>
    </cfRule>
    <cfRule type="containsBlanks" dxfId="302" priority="303">
      <formula>LEN(TRIM(L29))=0</formula>
    </cfRule>
  </conditionalFormatting>
  <conditionalFormatting sqref="L33:L35">
    <cfRule type="cellIs" dxfId="301" priority="302" operator="greaterThan">
      <formula>0.5</formula>
    </cfRule>
    <cfRule type="containsBlanks" dxfId="300" priority="301">
      <formula>LEN(TRIM(L33))=0</formula>
    </cfRule>
  </conditionalFormatting>
  <conditionalFormatting sqref="L37:L39">
    <cfRule type="cellIs" dxfId="299" priority="300" operator="greaterThan">
      <formula>0.5</formula>
    </cfRule>
    <cfRule type="containsBlanks" dxfId="298" priority="299">
      <formula>LEN(TRIM(L37))=0</formula>
    </cfRule>
  </conditionalFormatting>
  <conditionalFormatting sqref="L41:L43">
    <cfRule type="containsBlanks" dxfId="297" priority="297">
      <formula>LEN(TRIM(L41))=0</formula>
    </cfRule>
    <cfRule type="cellIs" dxfId="296" priority="298" operator="greaterThan">
      <formula>0.5</formula>
    </cfRule>
  </conditionalFormatting>
  <conditionalFormatting sqref="N3:N23">
    <cfRule type="containsBlanks" dxfId="295" priority="295">
      <formula>LEN(TRIM(N3))=0</formula>
    </cfRule>
    <cfRule type="cellIs" dxfId="294" priority="296" operator="greaterThan">
      <formula>0.5</formula>
    </cfRule>
  </conditionalFormatting>
  <conditionalFormatting sqref="N25:N27">
    <cfRule type="containsBlanks" dxfId="293" priority="293">
      <formula>LEN(TRIM(N25))=0</formula>
    </cfRule>
    <cfRule type="cellIs" dxfId="292" priority="294" operator="greaterThan">
      <formula>0.5</formula>
    </cfRule>
  </conditionalFormatting>
  <conditionalFormatting sqref="N29:N31">
    <cfRule type="containsBlanks" dxfId="291" priority="291">
      <formula>LEN(TRIM(N29))=0</formula>
    </cfRule>
    <cfRule type="cellIs" dxfId="290" priority="292" operator="greaterThan">
      <formula>0.5</formula>
    </cfRule>
  </conditionalFormatting>
  <conditionalFormatting sqref="N33:N35">
    <cfRule type="containsBlanks" dxfId="289" priority="289">
      <formula>LEN(TRIM(N33))=0</formula>
    </cfRule>
    <cfRule type="cellIs" dxfId="288" priority="290" operator="greaterThan">
      <formula>0.5</formula>
    </cfRule>
  </conditionalFormatting>
  <conditionalFormatting sqref="N37:N39">
    <cfRule type="cellIs" dxfId="287" priority="288" operator="greaterThan">
      <formula>0.5</formula>
    </cfRule>
    <cfRule type="containsBlanks" dxfId="286" priority="287">
      <formula>LEN(TRIM(N37))=0</formula>
    </cfRule>
  </conditionalFormatting>
  <conditionalFormatting sqref="N41:N43">
    <cfRule type="cellIs" dxfId="285" priority="286" operator="greaterThan">
      <formula>0.5</formula>
    </cfRule>
    <cfRule type="containsBlanks" dxfId="284" priority="285">
      <formula>LEN(TRIM(N41))=0</formula>
    </cfRule>
  </conditionalFormatting>
  <conditionalFormatting sqref="P3:P23 Z3:Z23 AJ3:AJ23 AT3:AT23 BD3:BD23 BF3:BF23">
    <cfRule type="cellIs" dxfId="283" priority="284" operator="greaterThan">
      <formula>0.5</formula>
    </cfRule>
    <cfRule type="containsBlanks" dxfId="282" priority="283">
      <formula>LEN(TRIM(P3))=0</formula>
    </cfRule>
  </conditionalFormatting>
  <conditionalFormatting sqref="P25:P27 Z25:Z27 AJ25:AJ27 AT25:AT27 BD25:BD27 BF25:BF27">
    <cfRule type="cellIs" dxfId="281" priority="282" operator="greaterThan">
      <formula>0.5</formula>
    </cfRule>
  </conditionalFormatting>
  <conditionalFormatting sqref="P29:P31 Z29:Z31 AJ29:AJ31 AT29:AT31 BD29:BD31 BF29:BF31">
    <cfRule type="cellIs" dxfId="280" priority="280" operator="greaterThan">
      <formula>0.5</formula>
    </cfRule>
  </conditionalFormatting>
  <conditionalFormatting sqref="P33:P35 Z33:Z35 AJ33:AJ35 AT33:AT35 BD33:BD35 BF33:BF35">
    <cfRule type="cellIs" dxfId="279" priority="278" operator="greaterThan">
      <formula>0.5</formula>
    </cfRule>
  </conditionalFormatting>
  <conditionalFormatting sqref="P37:P39 Z37:Z39 AJ37:AJ39 AT37:AT39 BD37:BD39 BF37:BF39">
    <cfRule type="cellIs" dxfId="278" priority="276" operator="greaterThan">
      <formula>0.5</formula>
    </cfRule>
  </conditionalFormatting>
  <conditionalFormatting sqref="P41:P43 Z41:Z43 AJ41:AJ43 AT41:AT43 BD41:BD43 BF41:BF43">
    <cfRule type="cellIs" dxfId="277" priority="274" operator="greaterThan">
      <formula>0.5</formula>
    </cfRule>
  </conditionalFormatting>
  <conditionalFormatting sqref="R3:R23">
    <cfRule type="cellIs" dxfId="276" priority="272" operator="greaterThan">
      <formula>0.5</formula>
    </cfRule>
    <cfRule type="containsBlanks" dxfId="275" priority="271">
      <formula>LEN(TRIM(R3))=0</formula>
    </cfRule>
  </conditionalFormatting>
  <conditionalFormatting sqref="R25:R27 AB25:AB27">
    <cfRule type="containsBlanks" dxfId="274" priority="127">
      <formula>LEN(TRIM(R25))=0</formula>
    </cfRule>
    <cfRule type="cellIs" dxfId="273" priority="128" operator="greaterThan">
      <formula>0.5</formula>
    </cfRule>
  </conditionalFormatting>
  <conditionalFormatting sqref="R25:R27">
    <cfRule type="containsBlanks" dxfId="272" priority="269">
      <formula>LEN(TRIM(R25))=0</formula>
    </cfRule>
    <cfRule type="cellIs" dxfId="271" priority="270" operator="greaterThan">
      <formula>0.5</formula>
    </cfRule>
  </conditionalFormatting>
  <conditionalFormatting sqref="R29:R31 AB29:AB31">
    <cfRule type="cellIs" dxfId="270" priority="126" operator="greaterThan">
      <formula>0.5</formula>
    </cfRule>
    <cfRule type="containsBlanks" dxfId="269" priority="125">
      <formula>LEN(TRIM(R29))=0</formula>
    </cfRule>
  </conditionalFormatting>
  <conditionalFormatting sqref="R29:R31">
    <cfRule type="cellIs" dxfId="268" priority="268" operator="greaterThan">
      <formula>0.5</formula>
    </cfRule>
    <cfRule type="containsBlanks" dxfId="267" priority="267">
      <formula>LEN(TRIM(R29))=0</formula>
    </cfRule>
  </conditionalFormatting>
  <conditionalFormatting sqref="R33:R35 AB33:AB35">
    <cfRule type="containsBlanks" dxfId="266" priority="123">
      <formula>LEN(TRIM(R33))=0</formula>
    </cfRule>
    <cfRule type="cellIs" dxfId="265" priority="124" operator="greaterThan">
      <formula>0.5</formula>
    </cfRule>
  </conditionalFormatting>
  <conditionalFormatting sqref="R33:R35">
    <cfRule type="cellIs" dxfId="264" priority="266" operator="greaterThan">
      <formula>0.5</formula>
    </cfRule>
    <cfRule type="containsBlanks" dxfId="263" priority="265">
      <formula>LEN(TRIM(R33))=0</formula>
    </cfRule>
  </conditionalFormatting>
  <conditionalFormatting sqref="R37:R39 AB37:AB39">
    <cfRule type="containsBlanks" dxfId="262" priority="121">
      <formula>LEN(TRIM(R37))=0</formula>
    </cfRule>
    <cfRule type="cellIs" dxfId="261" priority="122" operator="greaterThan">
      <formula>0.5</formula>
    </cfRule>
  </conditionalFormatting>
  <conditionalFormatting sqref="R37:R39">
    <cfRule type="containsBlanks" dxfId="260" priority="263">
      <formula>LEN(TRIM(R37))=0</formula>
    </cfRule>
    <cfRule type="cellIs" dxfId="259" priority="264" operator="greaterThan">
      <formula>0.5</formula>
    </cfRule>
  </conditionalFormatting>
  <conditionalFormatting sqref="R41:R43 AB41:AB43">
    <cfRule type="cellIs" dxfId="258" priority="120" operator="greaterThan">
      <formula>0.5</formula>
    </cfRule>
    <cfRule type="containsBlanks" dxfId="257" priority="119">
      <formula>LEN(TRIM(R41))=0</formula>
    </cfRule>
  </conditionalFormatting>
  <conditionalFormatting sqref="R41:R43">
    <cfRule type="cellIs" dxfId="256" priority="262" operator="greaterThan">
      <formula>0.5</formula>
    </cfRule>
    <cfRule type="containsBlanks" dxfId="255" priority="261">
      <formula>LEN(TRIM(R41))=0</formula>
    </cfRule>
  </conditionalFormatting>
  <conditionalFormatting sqref="T3:T23">
    <cfRule type="cellIs" dxfId="254" priority="260" operator="greaterThan">
      <formula>0.5</formula>
    </cfRule>
    <cfRule type="containsBlanks" dxfId="253" priority="259">
      <formula>LEN(TRIM(T3))=0</formula>
    </cfRule>
  </conditionalFormatting>
  <conditionalFormatting sqref="T25:T27">
    <cfRule type="cellIs" dxfId="252" priority="258" operator="greaterThan">
      <formula>0.5</formula>
    </cfRule>
    <cfRule type="containsBlanks" dxfId="251" priority="257">
      <formula>LEN(TRIM(T25))=0</formula>
    </cfRule>
    <cfRule type="cellIs" dxfId="250" priority="118" operator="greaterThan">
      <formula>0.5</formula>
    </cfRule>
    <cfRule type="containsBlanks" dxfId="249" priority="117">
      <formula>LEN(TRIM(T25))=0</formula>
    </cfRule>
  </conditionalFormatting>
  <conditionalFormatting sqref="T29:T31">
    <cfRule type="cellIs" dxfId="248" priority="256" operator="greaterThan">
      <formula>0.5</formula>
    </cfRule>
    <cfRule type="containsBlanks" dxfId="247" priority="255">
      <formula>LEN(TRIM(T29))=0</formula>
    </cfRule>
    <cfRule type="containsBlanks" dxfId="246" priority="115">
      <formula>LEN(TRIM(T29))=0</formula>
    </cfRule>
    <cfRule type="cellIs" dxfId="245" priority="116" operator="greaterThan">
      <formula>0.5</formula>
    </cfRule>
  </conditionalFormatting>
  <conditionalFormatting sqref="T33:T35">
    <cfRule type="containsBlanks" dxfId="244" priority="113">
      <formula>LEN(TRIM(T33))=0</formula>
    </cfRule>
    <cfRule type="containsBlanks" dxfId="243" priority="253">
      <formula>LEN(TRIM(T33))=0</formula>
    </cfRule>
    <cfRule type="cellIs" dxfId="242" priority="254" operator="greaterThan">
      <formula>0.5</formula>
    </cfRule>
    <cfRule type="cellIs" dxfId="241" priority="114" operator="greaterThan">
      <formula>0.5</formula>
    </cfRule>
  </conditionalFormatting>
  <conditionalFormatting sqref="T37:T39">
    <cfRule type="containsBlanks" dxfId="240" priority="251">
      <formula>LEN(TRIM(T37))=0</formula>
    </cfRule>
    <cfRule type="cellIs" dxfId="239" priority="252" operator="greaterThan">
      <formula>0.5</formula>
    </cfRule>
    <cfRule type="containsBlanks" dxfId="238" priority="111">
      <formula>LEN(TRIM(T37))=0</formula>
    </cfRule>
    <cfRule type="cellIs" dxfId="237" priority="112" operator="greaterThan">
      <formula>0.5</formula>
    </cfRule>
  </conditionalFormatting>
  <conditionalFormatting sqref="T41:T43">
    <cfRule type="cellIs" dxfId="236" priority="250" operator="greaterThan">
      <formula>0.5</formula>
    </cfRule>
    <cfRule type="containsBlanks" dxfId="235" priority="249">
      <formula>LEN(TRIM(T41))=0</formula>
    </cfRule>
    <cfRule type="containsBlanks" dxfId="234" priority="109">
      <formula>LEN(TRIM(T41))=0</formula>
    </cfRule>
    <cfRule type="cellIs" dxfId="233" priority="110" operator="greaterThan">
      <formula>0.5</formula>
    </cfRule>
  </conditionalFormatting>
  <conditionalFormatting sqref="V3:V23">
    <cfRule type="cellIs" dxfId="232" priority="248" operator="greaterThan">
      <formula>0.5</formula>
    </cfRule>
    <cfRule type="containsBlanks" dxfId="231" priority="247">
      <formula>LEN(TRIM(V3))=0</formula>
    </cfRule>
  </conditionalFormatting>
  <conditionalFormatting sqref="V25:V27">
    <cfRule type="containsBlanks" dxfId="230" priority="245">
      <formula>LEN(TRIM(V25))=0</formula>
    </cfRule>
    <cfRule type="cellIs" dxfId="229" priority="108" operator="greaterThan">
      <formula>0.5</formula>
    </cfRule>
    <cfRule type="containsBlanks" dxfId="228" priority="107">
      <formula>LEN(TRIM(V25))=0</formula>
    </cfRule>
    <cfRule type="cellIs" dxfId="227" priority="246" operator="greaterThan">
      <formula>0.5</formula>
    </cfRule>
  </conditionalFormatting>
  <conditionalFormatting sqref="V29:V31">
    <cfRule type="cellIs" dxfId="226" priority="106" operator="greaterThan">
      <formula>0.5</formula>
    </cfRule>
    <cfRule type="containsBlanks" dxfId="225" priority="243">
      <formula>LEN(TRIM(V29))=0</formula>
    </cfRule>
    <cfRule type="containsBlanks" dxfId="224" priority="105">
      <formula>LEN(TRIM(V29))=0</formula>
    </cfRule>
    <cfRule type="cellIs" dxfId="223" priority="244" operator="greaterThan">
      <formula>0.5</formula>
    </cfRule>
  </conditionalFormatting>
  <conditionalFormatting sqref="V33:V35">
    <cfRule type="containsBlanks" dxfId="222" priority="241">
      <formula>LEN(TRIM(V33))=0</formula>
    </cfRule>
    <cfRule type="containsBlanks" dxfId="221" priority="103">
      <formula>LEN(TRIM(V33))=0</formula>
    </cfRule>
    <cfRule type="cellIs" dxfId="220" priority="242" operator="greaterThan">
      <formula>0.5</formula>
    </cfRule>
    <cfRule type="cellIs" dxfId="219" priority="104" operator="greaterThan">
      <formula>0.5</formula>
    </cfRule>
  </conditionalFormatting>
  <conditionalFormatting sqref="V37:V39">
    <cfRule type="containsBlanks" dxfId="218" priority="101">
      <formula>LEN(TRIM(V37))=0</formula>
    </cfRule>
    <cfRule type="cellIs" dxfId="217" priority="102" operator="greaterThan">
      <formula>0.5</formula>
    </cfRule>
    <cfRule type="cellIs" dxfId="216" priority="240" operator="greaterThan">
      <formula>0.5</formula>
    </cfRule>
    <cfRule type="containsBlanks" dxfId="215" priority="239">
      <formula>LEN(TRIM(V37))=0</formula>
    </cfRule>
  </conditionalFormatting>
  <conditionalFormatting sqref="V41:V43">
    <cfRule type="cellIs" dxfId="214" priority="100" operator="greaterThan">
      <formula>0.5</formula>
    </cfRule>
    <cfRule type="containsBlanks" dxfId="213" priority="99">
      <formula>LEN(TRIM(V41))=0</formula>
    </cfRule>
    <cfRule type="cellIs" dxfId="212" priority="238" operator="greaterThan">
      <formula>0.5</formula>
    </cfRule>
    <cfRule type="containsBlanks" dxfId="211" priority="237">
      <formula>LEN(TRIM(V41))=0</formula>
    </cfRule>
  </conditionalFormatting>
  <conditionalFormatting sqref="X3:X23">
    <cfRule type="cellIs" dxfId="210" priority="236" operator="greaterThan">
      <formula>0.5</formula>
    </cfRule>
    <cfRule type="containsBlanks" dxfId="209" priority="235">
      <formula>LEN(TRIM(X3))=0</formula>
    </cfRule>
  </conditionalFormatting>
  <conditionalFormatting sqref="X25:X27">
    <cfRule type="cellIs" dxfId="208" priority="98" operator="greaterThan">
      <formula>0.5</formula>
    </cfRule>
    <cfRule type="containsBlanks" dxfId="207" priority="97">
      <formula>LEN(TRIM(X25))=0</formula>
    </cfRule>
    <cfRule type="cellIs" dxfId="206" priority="234" operator="greaterThan">
      <formula>0.5</formula>
    </cfRule>
    <cfRule type="containsBlanks" dxfId="205" priority="233">
      <formula>LEN(TRIM(X25))=0</formula>
    </cfRule>
  </conditionalFormatting>
  <conditionalFormatting sqref="X29:X31">
    <cfRule type="containsBlanks" dxfId="204" priority="95">
      <formula>LEN(TRIM(X29))=0</formula>
    </cfRule>
    <cfRule type="cellIs" dxfId="203" priority="232" operator="greaterThan">
      <formula>0.5</formula>
    </cfRule>
    <cfRule type="cellIs" dxfId="202" priority="96" operator="greaterThan">
      <formula>0.5</formula>
    </cfRule>
    <cfRule type="containsBlanks" dxfId="201" priority="231">
      <formula>LEN(TRIM(X29))=0</formula>
    </cfRule>
  </conditionalFormatting>
  <conditionalFormatting sqref="X33:X35">
    <cfRule type="containsBlanks" dxfId="200" priority="93">
      <formula>LEN(TRIM(X33))=0</formula>
    </cfRule>
    <cfRule type="cellIs" dxfId="199" priority="94" operator="greaterThan">
      <formula>0.5</formula>
    </cfRule>
    <cfRule type="containsBlanks" dxfId="198" priority="229">
      <formula>LEN(TRIM(X33))=0</formula>
    </cfRule>
    <cfRule type="cellIs" dxfId="197" priority="230" operator="greaterThan">
      <formula>0.5</formula>
    </cfRule>
  </conditionalFormatting>
  <conditionalFormatting sqref="X37:X39">
    <cfRule type="containsBlanks" dxfId="196" priority="227">
      <formula>LEN(TRIM(X37))=0</formula>
    </cfRule>
    <cfRule type="cellIs" dxfId="195" priority="228" operator="greaterThan">
      <formula>0.5</formula>
    </cfRule>
    <cfRule type="cellIs" dxfId="194" priority="92" operator="greaterThan">
      <formula>0.5</formula>
    </cfRule>
    <cfRule type="containsBlanks" dxfId="193" priority="91">
      <formula>LEN(TRIM(X37))=0</formula>
    </cfRule>
  </conditionalFormatting>
  <conditionalFormatting sqref="X41:X43">
    <cfRule type="cellIs" dxfId="192" priority="226" operator="greaterThan">
      <formula>0.5</formula>
    </cfRule>
    <cfRule type="containsBlanks" dxfId="191" priority="225">
      <formula>LEN(TRIM(X41))=0</formula>
    </cfRule>
    <cfRule type="cellIs" dxfId="190" priority="90" operator="greaterThan">
      <formula>0.5</formula>
    </cfRule>
    <cfRule type="containsBlanks" dxfId="189" priority="89">
      <formula>LEN(TRIM(X41))=0</formula>
    </cfRule>
  </conditionalFormatting>
  <conditionalFormatting sqref="Z25:Z27 P25:P27 AJ25:AJ27 AT25:AT27 BD25:BD27 BF25:BF27">
    <cfRule type="containsBlanks" dxfId="188" priority="281">
      <formula>LEN(TRIM(P25))=0</formula>
    </cfRule>
  </conditionalFormatting>
  <conditionalFormatting sqref="Z25:Z27">
    <cfRule type="cellIs" dxfId="187" priority="88" operator="greaterThan">
      <formula>0.5</formula>
    </cfRule>
    <cfRule type="containsBlanks" dxfId="186" priority="87">
      <formula>LEN(TRIM(Z25))=0</formula>
    </cfRule>
  </conditionalFormatting>
  <conditionalFormatting sqref="Z29:Z31 P29:P31 AJ29:AJ31 AT29:AT31 BD29:BD31 BF29:BF31">
    <cfRule type="containsBlanks" dxfId="185" priority="279">
      <formula>LEN(TRIM(P29))=0</formula>
    </cfRule>
  </conditionalFormatting>
  <conditionalFormatting sqref="Z29:Z31">
    <cfRule type="containsBlanks" dxfId="184" priority="85">
      <formula>LEN(TRIM(Z29))=0</formula>
    </cfRule>
    <cfRule type="cellIs" dxfId="183" priority="86" operator="greaterThan">
      <formula>0.5</formula>
    </cfRule>
  </conditionalFormatting>
  <conditionalFormatting sqref="Z33:Z35 P33:P35 AJ33:AJ35 AT33:AT35 BD33:BD35 BF33:BF35">
    <cfRule type="containsBlanks" dxfId="182" priority="277">
      <formula>LEN(TRIM(P33))=0</formula>
    </cfRule>
  </conditionalFormatting>
  <conditionalFormatting sqref="Z33:Z35">
    <cfRule type="cellIs" dxfId="181" priority="84" operator="greaterThan">
      <formula>0.5</formula>
    </cfRule>
    <cfRule type="containsBlanks" dxfId="180" priority="83">
      <formula>LEN(TRIM(Z33))=0</formula>
    </cfRule>
  </conditionalFormatting>
  <conditionalFormatting sqref="Z37:Z39 P37:P39 AJ37:AJ39 AT37:AT39 BD37:BD39 BF37:BF39">
    <cfRule type="containsBlanks" dxfId="179" priority="275">
      <formula>LEN(TRIM(P37))=0</formula>
    </cfRule>
  </conditionalFormatting>
  <conditionalFormatting sqref="Z37:Z39">
    <cfRule type="containsBlanks" dxfId="178" priority="81">
      <formula>LEN(TRIM(Z37))=0</formula>
    </cfRule>
    <cfRule type="cellIs" dxfId="177" priority="82" operator="greaterThan">
      <formula>0.5</formula>
    </cfRule>
  </conditionalFormatting>
  <conditionalFormatting sqref="Z41:Z43 P41:P43 AJ41:AJ43 AT41:AT43 BD41:BD43 BF41:BF43">
    <cfRule type="containsBlanks" dxfId="176" priority="273">
      <formula>LEN(TRIM(P41))=0</formula>
    </cfRule>
  </conditionalFormatting>
  <conditionalFormatting sqref="Z41:Z43">
    <cfRule type="containsBlanks" dxfId="175" priority="79">
      <formula>LEN(TRIM(Z41))=0</formula>
    </cfRule>
    <cfRule type="cellIs" dxfId="174" priority="80" operator="greaterThan">
      <formula>0.5</formula>
    </cfRule>
  </conditionalFormatting>
  <conditionalFormatting sqref="AB3:AB23">
    <cfRule type="cellIs" dxfId="173" priority="224" operator="greaterThan">
      <formula>0.5</formula>
    </cfRule>
    <cfRule type="containsBlanks" dxfId="172" priority="223">
      <formula>LEN(TRIM(AB3))=0</formula>
    </cfRule>
  </conditionalFormatting>
  <conditionalFormatting sqref="AB25:AB27">
    <cfRule type="cellIs" dxfId="171" priority="222" operator="greaterThan">
      <formula>0.5</formula>
    </cfRule>
    <cfRule type="containsBlanks" dxfId="170" priority="221">
      <formula>LEN(TRIM(AB25))=0</formula>
    </cfRule>
  </conditionalFormatting>
  <conditionalFormatting sqref="AB29:AB31">
    <cfRule type="cellIs" dxfId="169" priority="220" operator="greaterThan">
      <formula>0.5</formula>
    </cfRule>
    <cfRule type="containsBlanks" dxfId="168" priority="219">
      <formula>LEN(TRIM(AB29))=0</formula>
    </cfRule>
  </conditionalFormatting>
  <conditionalFormatting sqref="AB33:AB35">
    <cfRule type="cellIs" dxfId="167" priority="218" operator="greaterThan">
      <formula>0.5</formula>
    </cfRule>
    <cfRule type="containsBlanks" dxfId="166" priority="217">
      <formula>LEN(TRIM(AB33))=0</formula>
    </cfRule>
  </conditionalFormatting>
  <conditionalFormatting sqref="AB37:AB39">
    <cfRule type="cellIs" dxfId="165" priority="216" operator="greaterThan">
      <formula>0.5</formula>
    </cfRule>
    <cfRule type="containsBlanks" dxfId="164" priority="215">
      <formula>LEN(TRIM(AB37))=0</formula>
    </cfRule>
  </conditionalFormatting>
  <conditionalFormatting sqref="AB41:AB43">
    <cfRule type="cellIs" dxfId="163" priority="214" operator="greaterThan">
      <formula>0.5</formula>
    </cfRule>
    <cfRule type="containsBlanks" dxfId="162" priority="213">
      <formula>LEN(TRIM(AB41))=0</formula>
    </cfRule>
  </conditionalFormatting>
  <conditionalFormatting sqref="AD3:AD23">
    <cfRule type="cellIs" dxfId="161" priority="212" operator="greaterThan">
      <formula>0.5</formula>
    </cfRule>
    <cfRule type="containsBlanks" dxfId="160" priority="211">
      <formula>LEN(TRIM(AD3))=0</formula>
    </cfRule>
  </conditionalFormatting>
  <conditionalFormatting sqref="AD25:AD27">
    <cfRule type="cellIs" dxfId="159" priority="78" operator="greaterThan">
      <formula>0.5</formula>
    </cfRule>
    <cfRule type="containsBlanks" dxfId="158" priority="77">
      <formula>LEN(TRIM(AD25))=0</formula>
    </cfRule>
    <cfRule type="cellIs" dxfId="157" priority="210" operator="greaterThan">
      <formula>0.5</formula>
    </cfRule>
    <cfRule type="containsBlanks" dxfId="156" priority="209">
      <formula>LEN(TRIM(AD25))=0</formula>
    </cfRule>
  </conditionalFormatting>
  <conditionalFormatting sqref="AD29:AD31">
    <cfRule type="containsBlanks" dxfId="155" priority="75">
      <formula>LEN(TRIM(AD29))=0</formula>
    </cfRule>
    <cfRule type="cellIs" dxfId="154" priority="76" operator="greaterThan">
      <formula>0.5</formula>
    </cfRule>
    <cfRule type="cellIs" dxfId="153" priority="208" operator="greaterThan">
      <formula>0.5</formula>
    </cfRule>
    <cfRule type="containsBlanks" dxfId="152" priority="207">
      <formula>LEN(TRIM(AD29))=0</formula>
    </cfRule>
  </conditionalFormatting>
  <conditionalFormatting sqref="AD33:AD35">
    <cfRule type="cellIs" dxfId="151" priority="206" operator="greaterThan">
      <formula>0.5</formula>
    </cfRule>
    <cfRule type="cellIs" dxfId="150" priority="74" operator="greaterThan">
      <formula>0.5</formula>
    </cfRule>
    <cfRule type="containsBlanks" dxfId="149" priority="73">
      <formula>LEN(TRIM(AD33))=0</formula>
    </cfRule>
    <cfRule type="containsBlanks" dxfId="148" priority="205">
      <formula>LEN(TRIM(AD33))=0</formula>
    </cfRule>
  </conditionalFormatting>
  <conditionalFormatting sqref="AD37:AD39">
    <cfRule type="containsBlanks" dxfId="147" priority="203">
      <formula>LEN(TRIM(AD37))=0</formula>
    </cfRule>
    <cfRule type="cellIs" dxfId="146" priority="72" operator="greaterThan">
      <formula>0.5</formula>
    </cfRule>
    <cfRule type="containsBlanks" dxfId="145" priority="71">
      <formula>LEN(TRIM(AD37))=0</formula>
    </cfRule>
    <cfRule type="cellIs" dxfId="144" priority="204" operator="greaterThan">
      <formula>0.5</formula>
    </cfRule>
  </conditionalFormatting>
  <conditionalFormatting sqref="AD41:AD43">
    <cfRule type="containsBlanks" dxfId="143" priority="69">
      <formula>LEN(TRIM(AD41))=0</formula>
    </cfRule>
    <cfRule type="cellIs" dxfId="142" priority="70" operator="greaterThan">
      <formula>0.5</formula>
    </cfRule>
    <cfRule type="containsBlanks" dxfId="141" priority="201">
      <formula>LEN(TRIM(AD41))=0</formula>
    </cfRule>
    <cfRule type="cellIs" dxfId="140" priority="202" operator="greaterThan">
      <formula>0.5</formula>
    </cfRule>
  </conditionalFormatting>
  <conditionalFormatting sqref="AF3:AF23">
    <cfRule type="containsBlanks" dxfId="139" priority="199">
      <formula>LEN(TRIM(AF3))=0</formula>
    </cfRule>
    <cfRule type="cellIs" dxfId="138" priority="200" operator="greaterThan">
      <formula>0.5</formula>
    </cfRule>
  </conditionalFormatting>
  <conditionalFormatting sqref="AF25:AF27">
    <cfRule type="cellIs" dxfId="137" priority="68" operator="greaterThan">
      <formula>0.5</formula>
    </cfRule>
    <cfRule type="containsBlanks" dxfId="136" priority="197">
      <formula>LEN(TRIM(AF25))=0</formula>
    </cfRule>
    <cfRule type="cellIs" dxfId="135" priority="198" operator="greaterThan">
      <formula>0.5</formula>
    </cfRule>
    <cfRule type="containsBlanks" dxfId="134" priority="67">
      <formula>LEN(TRIM(AF25))=0</formula>
    </cfRule>
  </conditionalFormatting>
  <conditionalFormatting sqref="AF29:AF31">
    <cfRule type="cellIs" dxfId="133" priority="66" operator="greaterThan">
      <formula>0.5</formula>
    </cfRule>
    <cfRule type="containsBlanks" dxfId="132" priority="65">
      <formula>LEN(TRIM(AF29))=0</formula>
    </cfRule>
    <cfRule type="containsBlanks" dxfId="131" priority="195">
      <formula>LEN(TRIM(AF29))=0</formula>
    </cfRule>
    <cfRule type="cellIs" dxfId="130" priority="196" operator="greaterThan">
      <formula>0.5</formula>
    </cfRule>
  </conditionalFormatting>
  <conditionalFormatting sqref="AF33:AF35">
    <cfRule type="containsBlanks" dxfId="129" priority="63">
      <formula>LEN(TRIM(AF33))=0</formula>
    </cfRule>
    <cfRule type="cellIs" dxfId="128" priority="194" operator="greaterThan">
      <formula>0.5</formula>
    </cfRule>
    <cfRule type="containsBlanks" dxfId="127" priority="193">
      <formula>LEN(TRIM(AF33))=0</formula>
    </cfRule>
    <cfRule type="cellIs" dxfId="126" priority="64" operator="greaterThan">
      <formula>0.5</formula>
    </cfRule>
  </conditionalFormatting>
  <conditionalFormatting sqref="AF37:AF39">
    <cfRule type="containsBlanks" dxfId="125" priority="191">
      <formula>LEN(TRIM(AF37))=0</formula>
    </cfRule>
    <cfRule type="cellIs" dxfId="124" priority="192" operator="greaterThan">
      <formula>0.5</formula>
    </cfRule>
    <cfRule type="cellIs" dxfId="123" priority="62" operator="greaterThan">
      <formula>0.5</formula>
    </cfRule>
    <cfRule type="containsBlanks" dxfId="122" priority="61">
      <formula>LEN(TRIM(AF37))=0</formula>
    </cfRule>
  </conditionalFormatting>
  <conditionalFormatting sqref="AF41:AF43">
    <cfRule type="cellIs" dxfId="121" priority="190" operator="greaterThan">
      <formula>0.5</formula>
    </cfRule>
    <cfRule type="containsBlanks" dxfId="120" priority="189">
      <formula>LEN(TRIM(AF41))=0</formula>
    </cfRule>
    <cfRule type="cellIs" dxfId="119" priority="60" operator="greaterThan">
      <formula>0.5</formula>
    </cfRule>
    <cfRule type="containsBlanks" dxfId="118" priority="59">
      <formula>LEN(TRIM(AF41))=0</formula>
    </cfRule>
  </conditionalFormatting>
  <conditionalFormatting sqref="AH3:AH23">
    <cfRule type="containsBlanks" dxfId="117" priority="187">
      <formula>LEN(TRIM(AH3))=0</formula>
    </cfRule>
    <cfRule type="cellIs" dxfId="116" priority="188" operator="greaterThan">
      <formula>0.5</formula>
    </cfRule>
  </conditionalFormatting>
  <conditionalFormatting sqref="AH25:AH27">
    <cfRule type="cellIs" dxfId="115" priority="186" operator="greaterThan">
      <formula>0.5</formula>
    </cfRule>
    <cfRule type="containsBlanks" dxfId="114" priority="185">
      <formula>LEN(TRIM(AH25))=0</formula>
    </cfRule>
    <cfRule type="cellIs" dxfId="113" priority="58" operator="greaterThan">
      <formula>0.5</formula>
    </cfRule>
    <cfRule type="containsBlanks" dxfId="112" priority="57">
      <formula>LEN(TRIM(AH25))=0</formula>
    </cfRule>
  </conditionalFormatting>
  <conditionalFormatting sqref="AH29:AH31">
    <cfRule type="containsBlanks" dxfId="111" priority="55">
      <formula>LEN(TRIM(AH29))=0</formula>
    </cfRule>
    <cfRule type="cellIs" dxfId="110" priority="56" operator="greaterThan">
      <formula>0.5</formula>
    </cfRule>
    <cfRule type="cellIs" dxfId="109" priority="184" operator="greaterThan">
      <formula>0.5</formula>
    </cfRule>
    <cfRule type="containsBlanks" dxfId="108" priority="183">
      <formula>LEN(TRIM(AH29))=0</formula>
    </cfRule>
  </conditionalFormatting>
  <conditionalFormatting sqref="AH33:AH35">
    <cfRule type="cellIs" dxfId="107" priority="182" operator="greaterThan">
      <formula>0.5</formula>
    </cfRule>
    <cfRule type="containsBlanks" dxfId="106" priority="181">
      <formula>LEN(TRIM(AH33))=0</formula>
    </cfRule>
    <cfRule type="cellIs" dxfId="105" priority="54" operator="greaterThan">
      <formula>0.5</formula>
    </cfRule>
    <cfRule type="containsBlanks" dxfId="104" priority="53">
      <formula>LEN(TRIM(AH33))=0</formula>
    </cfRule>
  </conditionalFormatting>
  <conditionalFormatting sqref="AH37:AH39">
    <cfRule type="cellIs" dxfId="103" priority="180" operator="greaterThan">
      <formula>0.5</formula>
    </cfRule>
    <cfRule type="cellIs" dxfId="102" priority="52" operator="greaterThan">
      <formula>0.5</formula>
    </cfRule>
    <cfRule type="containsBlanks" dxfId="101" priority="51">
      <formula>LEN(TRIM(AH37))=0</formula>
    </cfRule>
    <cfRule type="containsBlanks" dxfId="100" priority="179">
      <formula>LEN(TRIM(AH37))=0</formula>
    </cfRule>
  </conditionalFormatting>
  <conditionalFormatting sqref="AH41:AH43">
    <cfRule type="cellIs" dxfId="99" priority="178" operator="greaterThan">
      <formula>0.5</formula>
    </cfRule>
    <cfRule type="containsBlanks" dxfId="98" priority="177">
      <formula>LEN(TRIM(AH41))=0</formula>
    </cfRule>
    <cfRule type="containsBlanks" dxfId="97" priority="49">
      <formula>LEN(TRIM(AH41))=0</formula>
    </cfRule>
    <cfRule type="cellIs" dxfId="96" priority="50" operator="greaterThan">
      <formula>0.5</formula>
    </cfRule>
  </conditionalFormatting>
  <conditionalFormatting sqref="AL3:AL23">
    <cfRule type="cellIs" dxfId="95" priority="176" operator="greaterThan">
      <formula>0.5</formula>
    </cfRule>
    <cfRule type="containsBlanks" dxfId="94" priority="175">
      <formula>LEN(TRIM(AL3))=0</formula>
    </cfRule>
  </conditionalFormatting>
  <conditionalFormatting sqref="AL25:AL27">
    <cfRule type="containsBlanks" dxfId="93" priority="173">
      <formula>LEN(TRIM(AL25))=0</formula>
    </cfRule>
    <cfRule type="cellIs" dxfId="92" priority="174" operator="greaterThan">
      <formula>0.5</formula>
    </cfRule>
  </conditionalFormatting>
  <conditionalFormatting sqref="AL29:AL31">
    <cfRule type="cellIs" dxfId="91" priority="172" operator="greaterThan">
      <formula>0.5</formula>
    </cfRule>
    <cfRule type="containsBlanks" dxfId="90" priority="171">
      <formula>LEN(TRIM(AL29))=0</formula>
    </cfRule>
  </conditionalFormatting>
  <conditionalFormatting sqref="AL33:AL35">
    <cfRule type="containsBlanks" dxfId="89" priority="169">
      <formula>LEN(TRIM(AL33))=0</formula>
    </cfRule>
    <cfRule type="cellIs" dxfId="88" priority="170" operator="greaterThan">
      <formula>0.5</formula>
    </cfRule>
  </conditionalFormatting>
  <conditionalFormatting sqref="AL37:AL39">
    <cfRule type="cellIs" dxfId="87" priority="168" operator="greaterThan">
      <formula>0.5</formula>
    </cfRule>
    <cfRule type="containsBlanks" dxfId="86" priority="167">
      <formula>LEN(TRIM(AL37))=0</formula>
    </cfRule>
  </conditionalFormatting>
  <conditionalFormatting sqref="AL41:AL43">
    <cfRule type="cellIs" dxfId="85" priority="166" operator="greaterThan">
      <formula>0.5</formula>
    </cfRule>
    <cfRule type="containsBlanks" dxfId="84" priority="165">
      <formula>LEN(TRIM(AL41))=0</formula>
    </cfRule>
  </conditionalFormatting>
  <conditionalFormatting sqref="AN3:AN23">
    <cfRule type="cellIs" dxfId="83" priority="164" operator="greaterThan">
      <formula>0.5</formula>
    </cfRule>
    <cfRule type="containsBlanks" dxfId="82" priority="163">
      <formula>LEN(TRIM(AN3))=0</formula>
    </cfRule>
  </conditionalFormatting>
  <conditionalFormatting sqref="AN25:AN27">
    <cfRule type="containsBlanks" dxfId="81" priority="161">
      <formula>LEN(TRIM(AN25))=0</formula>
    </cfRule>
    <cfRule type="cellIs" dxfId="80" priority="162" operator="greaterThan">
      <formula>0.5</formula>
    </cfRule>
  </conditionalFormatting>
  <conditionalFormatting sqref="AN29:AN31">
    <cfRule type="containsBlanks" dxfId="79" priority="159">
      <formula>LEN(TRIM(AN29))=0</formula>
    </cfRule>
    <cfRule type="cellIs" dxfId="78" priority="160" operator="greaterThan">
      <formula>0.5</formula>
    </cfRule>
  </conditionalFormatting>
  <conditionalFormatting sqref="AN33:AN35">
    <cfRule type="containsBlanks" dxfId="77" priority="157">
      <formula>LEN(TRIM(AN33))=0</formula>
    </cfRule>
    <cfRule type="cellIs" dxfId="76" priority="158" operator="greaterThan">
      <formula>0.5</formula>
    </cfRule>
  </conditionalFormatting>
  <conditionalFormatting sqref="AN37:AN39">
    <cfRule type="cellIs" dxfId="75" priority="156" operator="greaterThan">
      <formula>0.5</formula>
    </cfRule>
    <cfRule type="containsBlanks" dxfId="74" priority="155">
      <formula>LEN(TRIM(AN37))=0</formula>
    </cfRule>
  </conditionalFormatting>
  <conditionalFormatting sqref="AN41:AN43">
    <cfRule type="cellIs" dxfId="73" priority="154" operator="greaterThan">
      <formula>0.5</formula>
    </cfRule>
    <cfRule type="containsBlanks" dxfId="72" priority="153">
      <formula>LEN(TRIM(AN41))=0</formula>
    </cfRule>
  </conditionalFormatting>
  <conditionalFormatting sqref="AP3:AP23">
    <cfRule type="cellIs" dxfId="71" priority="152" operator="greaterThan">
      <formula>0.5</formula>
    </cfRule>
    <cfRule type="containsBlanks" dxfId="70" priority="151">
      <formula>LEN(TRIM(AP3))=0</formula>
    </cfRule>
  </conditionalFormatting>
  <conditionalFormatting sqref="AP25:AP27">
    <cfRule type="cellIs" dxfId="69" priority="150" operator="greaterThan">
      <formula>0.5</formula>
    </cfRule>
    <cfRule type="containsBlanks" dxfId="68" priority="149">
      <formula>LEN(TRIM(AP25))=0</formula>
    </cfRule>
  </conditionalFormatting>
  <conditionalFormatting sqref="AP29:AP31">
    <cfRule type="containsBlanks" dxfId="67" priority="147">
      <formula>LEN(TRIM(AP29))=0</formula>
    </cfRule>
    <cfRule type="cellIs" dxfId="66" priority="148" operator="greaterThan">
      <formula>0.5</formula>
    </cfRule>
  </conditionalFormatting>
  <conditionalFormatting sqref="AP33:AP35">
    <cfRule type="cellIs" dxfId="65" priority="146" operator="greaterThan">
      <formula>0.5</formula>
    </cfRule>
    <cfRule type="containsBlanks" dxfId="64" priority="145">
      <formula>LEN(TRIM(AP33))=0</formula>
    </cfRule>
  </conditionalFormatting>
  <conditionalFormatting sqref="AP37:AP39">
    <cfRule type="cellIs" dxfId="63" priority="144" operator="greaterThan">
      <formula>0.5</formula>
    </cfRule>
    <cfRule type="containsBlanks" dxfId="62" priority="143">
      <formula>LEN(TRIM(AP37))=0</formula>
    </cfRule>
  </conditionalFormatting>
  <conditionalFormatting sqref="AP41:AP43">
    <cfRule type="cellIs" dxfId="61" priority="142" operator="greaterThan">
      <formula>0.5</formula>
    </cfRule>
    <cfRule type="containsBlanks" dxfId="60" priority="141">
      <formula>LEN(TRIM(AP41))=0</formula>
    </cfRule>
  </conditionalFormatting>
  <conditionalFormatting sqref="AR3:AR23">
    <cfRule type="containsBlanks" dxfId="59" priority="139">
      <formula>LEN(TRIM(AR3))=0</formula>
    </cfRule>
    <cfRule type="cellIs" dxfId="58" priority="140" operator="greaterThan">
      <formula>0.5</formula>
    </cfRule>
  </conditionalFormatting>
  <conditionalFormatting sqref="AR25:AR27">
    <cfRule type="containsBlanks" dxfId="57" priority="137">
      <formula>LEN(TRIM(AR25))=0</formula>
    </cfRule>
    <cfRule type="cellIs" dxfId="56" priority="138" operator="greaterThan">
      <formula>0.5</formula>
    </cfRule>
  </conditionalFormatting>
  <conditionalFormatting sqref="AR29:AR31">
    <cfRule type="cellIs" dxfId="55" priority="136" operator="greaterThan">
      <formula>0.5</formula>
    </cfRule>
    <cfRule type="containsBlanks" dxfId="54" priority="135">
      <formula>LEN(TRIM(AR29))=0</formula>
    </cfRule>
  </conditionalFormatting>
  <conditionalFormatting sqref="AR33:AR35">
    <cfRule type="cellIs" dxfId="53" priority="134" operator="greaterThan">
      <formula>0.5</formula>
    </cfRule>
    <cfRule type="containsBlanks" dxfId="52" priority="133">
      <formula>LEN(TRIM(AR33))=0</formula>
    </cfRule>
  </conditionalFormatting>
  <conditionalFormatting sqref="AR37:AR39">
    <cfRule type="cellIs" dxfId="51" priority="132" operator="greaterThan">
      <formula>0.5</formula>
    </cfRule>
    <cfRule type="containsBlanks" dxfId="50" priority="131">
      <formula>LEN(TRIM(AR37))=0</formula>
    </cfRule>
  </conditionalFormatting>
  <conditionalFormatting sqref="AR41:AR43">
    <cfRule type="cellIs" dxfId="49" priority="130" operator="greaterThan">
      <formula>0.5</formula>
    </cfRule>
    <cfRule type="containsBlanks" dxfId="48" priority="129">
      <formula>LEN(TRIM(AR41))=0</formula>
    </cfRule>
  </conditionalFormatting>
  <conditionalFormatting sqref="AV3:AV23">
    <cfRule type="cellIs" dxfId="47" priority="48" operator="greaterThan">
      <formula>0.5</formula>
    </cfRule>
    <cfRule type="containsBlanks" dxfId="46" priority="47">
      <formula>LEN(TRIM(AV3))=0</formula>
    </cfRule>
  </conditionalFormatting>
  <conditionalFormatting sqref="AV25:AV27">
    <cfRule type="containsBlanks" dxfId="45" priority="45">
      <formula>LEN(TRIM(AV25))=0</formula>
    </cfRule>
    <cfRule type="cellIs" dxfId="44" priority="46" operator="greaterThan">
      <formula>0.5</formula>
    </cfRule>
  </conditionalFormatting>
  <conditionalFormatting sqref="AV29:AV31">
    <cfRule type="cellIs" dxfId="43" priority="44" operator="greaterThan">
      <formula>0.5</formula>
    </cfRule>
    <cfRule type="containsBlanks" dxfId="42" priority="43">
      <formula>LEN(TRIM(AV29))=0</formula>
    </cfRule>
  </conditionalFormatting>
  <conditionalFormatting sqref="AV33:AV35">
    <cfRule type="containsBlanks" dxfId="41" priority="41">
      <formula>LEN(TRIM(AV33))=0</formula>
    </cfRule>
    <cfRule type="cellIs" dxfId="40" priority="42" operator="greaterThan">
      <formula>0.5</formula>
    </cfRule>
  </conditionalFormatting>
  <conditionalFormatting sqref="AV37:AV39">
    <cfRule type="cellIs" dxfId="39" priority="40" operator="greaterThan">
      <formula>0.5</formula>
    </cfRule>
    <cfRule type="containsBlanks" dxfId="38" priority="39">
      <formula>LEN(TRIM(AV37))=0</formula>
    </cfRule>
  </conditionalFormatting>
  <conditionalFormatting sqref="AV41:AV43">
    <cfRule type="cellIs" dxfId="37" priority="38" operator="greaterThan">
      <formula>0.5</formula>
    </cfRule>
    <cfRule type="containsBlanks" dxfId="36" priority="37">
      <formula>LEN(TRIM(AV41))=0</formula>
    </cfRule>
  </conditionalFormatting>
  <conditionalFormatting sqref="AX3:AX23">
    <cfRule type="cellIs" dxfId="35" priority="36" operator="greaterThan">
      <formula>0.5</formula>
    </cfRule>
    <cfRule type="containsBlanks" dxfId="34" priority="35">
      <formula>LEN(TRIM(AX3))=0</formula>
    </cfRule>
  </conditionalFormatting>
  <conditionalFormatting sqref="AX25:AX27">
    <cfRule type="containsBlanks" dxfId="33" priority="33">
      <formula>LEN(TRIM(AX25))=0</formula>
    </cfRule>
    <cfRule type="cellIs" dxfId="32" priority="34" operator="greaterThan">
      <formula>0.5</formula>
    </cfRule>
  </conditionalFormatting>
  <conditionalFormatting sqref="AX29:AX31">
    <cfRule type="containsBlanks" dxfId="31" priority="31">
      <formula>LEN(TRIM(AX29))=0</formula>
    </cfRule>
    <cfRule type="cellIs" dxfId="30" priority="32" operator="greaterThan">
      <formula>0.5</formula>
    </cfRule>
  </conditionalFormatting>
  <conditionalFormatting sqref="AX33:AX35">
    <cfRule type="containsBlanks" dxfId="29" priority="29">
      <formula>LEN(TRIM(AX33))=0</formula>
    </cfRule>
    <cfRule type="cellIs" dxfId="28" priority="30" operator="greaterThan">
      <formula>0.5</formula>
    </cfRule>
  </conditionalFormatting>
  <conditionalFormatting sqref="AX37:AX39">
    <cfRule type="cellIs" dxfId="27" priority="28" operator="greaterThan">
      <formula>0.5</formula>
    </cfRule>
    <cfRule type="containsBlanks" dxfId="26" priority="27">
      <formula>LEN(TRIM(AX37))=0</formula>
    </cfRule>
  </conditionalFormatting>
  <conditionalFormatting sqref="AX41:AX43">
    <cfRule type="containsBlanks" dxfId="25" priority="25">
      <formula>LEN(TRIM(AX41))=0</formula>
    </cfRule>
    <cfRule type="cellIs" dxfId="24" priority="26" operator="greaterThan">
      <formula>0.5</formula>
    </cfRule>
  </conditionalFormatting>
  <conditionalFormatting sqref="AZ3:AZ23">
    <cfRule type="cellIs" dxfId="23" priority="24" operator="greaterThan">
      <formula>0.5</formula>
    </cfRule>
    <cfRule type="containsBlanks" dxfId="22" priority="23">
      <formula>LEN(TRIM(AZ3))=0</formula>
    </cfRule>
  </conditionalFormatting>
  <conditionalFormatting sqref="AZ25:AZ27">
    <cfRule type="cellIs" dxfId="21" priority="22" operator="greaterThan">
      <formula>0.5</formula>
    </cfRule>
    <cfRule type="containsBlanks" dxfId="20" priority="21">
      <formula>LEN(TRIM(AZ25))=0</formula>
    </cfRule>
  </conditionalFormatting>
  <conditionalFormatting sqref="AZ29:AZ31">
    <cfRule type="cellIs" dxfId="19" priority="20" operator="greaterThan">
      <formula>0.5</formula>
    </cfRule>
    <cfRule type="containsBlanks" dxfId="18" priority="19">
      <formula>LEN(TRIM(AZ29))=0</formula>
    </cfRule>
  </conditionalFormatting>
  <conditionalFormatting sqref="AZ33:AZ35">
    <cfRule type="containsBlanks" dxfId="17" priority="17">
      <formula>LEN(TRIM(AZ33))=0</formula>
    </cfRule>
    <cfRule type="cellIs" dxfId="16" priority="18" operator="greaterThan">
      <formula>0.5</formula>
    </cfRule>
  </conditionalFormatting>
  <conditionalFormatting sqref="AZ37:AZ39">
    <cfRule type="containsBlanks" dxfId="15" priority="15">
      <formula>LEN(TRIM(AZ37))=0</formula>
    </cfRule>
    <cfRule type="cellIs" dxfId="14" priority="16" operator="greaterThan">
      <formula>0.5</formula>
    </cfRule>
  </conditionalFormatting>
  <conditionalFormatting sqref="AZ41:AZ43">
    <cfRule type="cellIs" dxfId="13" priority="14" operator="greaterThan">
      <formula>0.5</formula>
    </cfRule>
    <cfRule type="containsBlanks" dxfId="12" priority="13">
      <formula>LEN(TRIM(AZ41))=0</formula>
    </cfRule>
  </conditionalFormatting>
  <conditionalFormatting sqref="BB3:BB23">
    <cfRule type="cellIs" dxfId="11" priority="12" operator="greaterThan">
      <formula>0.5</formula>
    </cfRule>
    <cfRule type="containsBlanks" dxfId="10" priority="11">
      <formula>LEN(TRIM(BB3))=0</formula>
    </cfRule>
  </conditionalFormatting>
  <conditionalFormatting sqref="BB25:BB27">
    <cfRule type="containsBlanks" dxfId="9" priority="9">
      <formula>LEN(TRIM(BB25))=0</formula>
    </cfRule>
    <cfRule type="cellIs" dxfId="8" priority="10" operator="greaterThan">
      <formula>0.5</formula>
    </cfRule>
  </conditionalFormatting>
  <conditionalFormatting sqref="BB29:BB31">
    <cfRule type="cellIs" dxfId="7" priority="8" operator="greaterThan">
      <formula>0.5</formula>
    </cfRule>
    <cfRule type="containsBlanks" dxfId="6" priority="7">
      <formula>LEN(TRIM(BB29))=0</formula>
    </cfRule>
  </conditionalFormatting>
  <conditionalFormatting sqref="BB33:BB35">
    <cfRule type="containsBlanks" dxfId="5" priority="5">
      <formula>LEN(TRIM(BB33))=0</formula>
    </cfRule>
    <cfRule type="cellIs" dxfId="4" priority="6" operator="greaterThan">
      <formula>0.5</formula>
    </cfRule>
  </conditionalFormatting>
  <conditionalFormatting sqref="BB37:BB39">
    <cfRule type="containsBlanks" dxfId="3" priority="3">
      <formula>LEN(TRIM(BB37))=0</formula>
    </cfRule>
    <cfRule type="cellIs" dxfId="2" priority="4" operator="greaterThan">
      <formula>0.5</formula>
    </cfRule>
  </conditionalFormatting>
  <conditionalFormatting sqref="BB41:BB43">
    <cfRule type="cellIs" dxfId="1" priority="2" operator="greaterThan">
      <formula>0.5</formula>
    </cfRule>
    <cfRule type="containsBlanks" dxfId="0" priority="1">
      <formula>LEN(TRIM(BB41))=0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7703-F9D8-497F-8DFC-5E802F9A84A8}">
  <dimension ref="B1:AC35"/>
  <sheetViews>
    <sheetView topLeftCell="A15" workbookViewId="0">
      <selection activeCell="AC6" sqref="AC6"/>
    </sheetView>
  </sheetViews>
  <sheetFormatPr baseColWidth="10" defaultColWidth="11.44140625" defaultRowHeight="14.4" x14ac:dyDescent="0.3"/>
  <cols>
    <col min="1" max="2" width="4" style="44" customWidth="1"/>
    <col min="3" max="3" width="16.44140625" style="44" bestFit="1" customWidth="1"/>
    <col min="4" max="29" width="10" style="44" customWidth="1"/>
    <col min="30" max="16384" width="11.44140625" style="44"/>
  </cols>
  <sheetData>
    <row r="1" spans="2:29" ht="15" thickBot="1" x14ac:dyDescent="0.35"/>
    <row r="2" spans="2:29" ht="15" thickBot="1" x14ac:dyDescent="0.35">
      <c r="B2" s="243" t="s">
        <v>123</v>
      </c>
      <c r="C2" s="244"/>
      <c r="D2" s="129" t="s">
        <v>147</v>
      </c>
      <c r="E2" s="125" t="s">
        <v>148</v>
      </c>
      <c r="F2" s="131" t="s">
        <v>149</v>
      </c>
      <c r="G2" s="132" t="s">
        <v>150</v>
      </c>
      <c r="H2" s="130" t="s">
        <v>151</v>
      </c>
      <c r="I2" s="126" t="s">
        <v>152</v>
      </c>
      <c r="J2" s="128" t="s">
        <v>163</v>
      </c>
      <c r="K2" s="115" t="s">
        <v>157</v>
      </c>
      <c r="L2" s="120" t="s">
        <v>153</v>
      </c>
      <c r="M2" s="124" t="s">
        <v>154</v>
      </c>
      <c r="N2" s="125" t="s">
        <v>155</v>
      </c>
      <c r="O2" s="114" t="s">
        <v>161</v>
      </c>
      <c r="P2" s="122" t="s">
        <v>156</v>
      </c>
      <c r="Q2" s="123" t="s">
        <v>162</v>
      </c>
      <c r="R2" s="112" t="s">
        <v>6</v>
      </c>
      <c r="S2" s="115" t="s">
        <v>164</v>
      </c>
      <c r="T2" s="119" t="s">
        <v>158</v>
      </c>
      <c r="U2" s="120" t="s">
        <v>159</v>
      </c>
      <c r="V2" s="121" t="s">
        <v>160</v>
      </c>
      <c r="W2" s="116" t="s">
        <v>165</v>
      </c>
      <c r="X2" s="132" t="s">
        <v>166</v>
      </c>
      <c r="Y2" s="118" t="s">
        <v>167</v>
      </c>
      <c r="Z2" s="125" t="s">
        <v>168</v>
      </c>
      <c r="AA2" s="129" t="s">
        <v>169</v>
      </c>
      <c r="AB2" s="136" t="s">
        <v>170</v>
      </c>
      <c r="AC2" s="150" t="s">
        <v>238</v>
      </c>
    </row>
    <row r="3" spans="2:29" x14ac:dyDescent="0.3">
      <c r="B3" s="237" t="s">
        <v>124</v>
      </c>
      <c r="C3" s="238"/>
      <c r="D3" s="11">
        <f>Gruppespill!J86</f>
        <v>7</v>
      </c>
      <c r="E3" s="11">
        <f>Gruppespill!N86</f>
        <v>7</v>
      </c>
      <c r="F3" s="11">
        <f>Gruppespill!R86</f>
        <v>2</v>
      </c>
      <c r="G3" s="11">
        <f>Gruppespill!V86</f>
        <v>5</v>
      </c>
      <c r="H3" s="11">
        <f>Gruppespill!Z86</f>
        <v>4</v>
      </c>
      <c r="I3" s="11">
        <f>Gruppespill!AD86</f>
        <v>5</v>
      </c>
      <c r="J3" s="11">
        <f>Gruppespill!AH86</f>
        <v>2</v>
      </c>
      <c r="K3" s="11">
        <f>Gruppespill!AL86</f>
        <v>1</v>
      </c>
      <c r="L3" s="11">
        <f>Gruppespill!AP86</f>
        <v>2</v>
      </c>
      <c r="M3" s="11">
        <f>Gruppespill!AT86</f>
        <v>4</v>
      </c>
      <c r="N3" s="11">
        <f>Gruppespill!AX86</f>
        <v>1</v>
      </c>
      <c r="O3" s="11">
        <f>Gruppespill!BB86</f>
        <v>4</v>
      </c>
      <c r="P3" s="11">
        <f>Gruppespill!BF86</f>
        <v>5</v>
      </c>
      <c r="Q3" s="11">
        <f>Gruppespill!BJ86</f>
        <v>2</v>
      </c>
      <c r="R3" s="11">
        <f>Gruppespill!BN86</f>
        <v>4</v>
      </c>
      <c r="S3" s="11">
        <f>Gruppespill!BR86</f>
        <v>10</v>
      </c>
      <c r="T3" s="11">
        <f>Gruppespill!BV86</f>
        <v>7</v>
      </c>
      <c r="U3" s="11">
        <f>Gruppespill!BZ86</f>
        <v>2</v>
      </c>
      <c r="V3" s="11">
        <f>Gruppespill!CD86</f>
        <v>4</v>
      </c>
      <c r="W3" s="11">
        <f>Gruppespill!CH86</f>
        <v>2</v>
      </c>
      <c r="X3" s="11">
        <f>Gruppespill!CL86</f>
        <v>2</v>
      </c>
      <c r="Y3" s="11">
        <f>Gruppespill!CP86</f>
        <v>2</v>
      </c>
      <c r="Z3" s="11">
        <f>Gruppespill!CT86</f>
        <v>10</v>
      </c>
      <c r="AA3" s="11">
        <f>Gruppespill!CX86</f>
        <v>1</v>
      </c>
      <c r="AB3" s="11">
        <f>Gruppespill!DB86</f>
        <v>2</v>
      </c>
      <c r="AC3" s="11">
        <f>Gruppespill!DF86</f>
        <v>1</v>
      </c>
    </row>
    <row r="4" spans="2:29" x14ac:dyDescent="0.3">
      <c r="B4" s="235" t="s">
        <v>127</v>
      </c>
      <c r="C4" s="236"/>
      <c r="D4" s="9">
        <f>Utslagsrunder!J40</f>
        <v>0</v>
      </c>
      <c r="E4" s="9">
        <f>Utslagsrunder!N40</f>
        <v>0</v>
      </c>
      <c r="F4" s="9">
        <f>Utslagsrunder!R40</f>
        <v>0</v>
      </c>
      <c r="G4" s="9">
        <f>Utslagsrunder!V40</f>
        <v>0</v>
      </c>
      <c r="H4" s="9">
        <f>Utslagsrunder!Z40</f>
        <v>0</v>
      </c>
      <c r="I4" s="9">
        <f>Utslagsrunder!AD40</f>
        <v>0</v>
      </c>
      <c r="J4" s="9">
        <f>Utslagsrunder!AH40</f>
        <v>0</v>
      </c>
      <c r="K4" s="9">
        <f>Utslagsrunder!AL40</f>
        <v>0</v>
      </c>
      <c r="L4" s="9">
        <f>Utslagsrunder!AP40</f>
        <v>0</v>
      </c>
      <c r="M4" s="9">
        <f>Utslagsrunder!AT40</f>
        <v>0</v>
      </c>
      <c r="N4" s="9">
        <f>Utslagsrunder!AX40</f>
        <v>0</v>
      </c>
      <c r="O4" s="9">
        <f>Utslagsrunder!BB40</f>
        <v>0</v>
      </c>
      <c r="P4" s="9">
        <f>Utslagsrunder!BF40</f>
        <v>0</v>
      </c>
      <c r="Q4" s="9">
        <f>Utslagsrunder!BJ40</f>
        <v>0</v>
      </c>
      <c r="R4" s="9">
        <f>Utslagsrunder!BN40</f>
        <v>0</v>
      </c>
      <c r="S4" s="9">
        <f>Utslagsrunder!BR40</f>
        <v>0</v>
      </c>
      <c r="T4" s="9">
        <f>Utslagsrunder!BV40</f>
        <v>0</v>
      </c>
      <c r="U4" s="9">
        <f>Utslagsrunder!BZ40</f>
        <v>0</v>
      </c>
      <c r="V4" s="9">
        <f>Utslagsrunder!CD40</f>
        <v>0</v>
      </c>
      <c r="W4" s="9">
        <f>Utslagsrunder!CH40</f>
        <v>0</v>
      </c>
      <c r="X4" s="9">
        <f>Utslagsrunder!CL40</f>
        <v>0</v>
      </c>
      <c r="Y4" s="9">
        <f>Utslagsrunder!CP40</f>
        <v>0</v>
      </c>
      <c r="Z4" s="9">
        <f>Utslagsrunder!CT40</f>
        <v>0</v>
      </c>
      <c r="AA4" s="9">
        <f>Utslagsrunder!CX40</f>
        <v>0</v>
      </c>
      <c r="AB4" s="9">
        <f>Utslagsrunder!DB40</f>
        <v>0</v>
      </c>
      <c r="AC4" s="9">
        <f>Utslagsrunder!DF40</f>
        <v>0</v>
      </c>
    </row>
    <row r="5" spans="2:29" ht="15" thickBot="1" x14ac:dyDescent="0.35">
      <c r="B5" s="239" t="s">
        <v>79</v>
      </c>
      <c r="C5" s="240"/>
      <c r="D5" s="10">
        <f>Krydderspørsmål!G44</f>
        <v>0</v>
      </c>
      <c r="E5" s="10">
        <f>Krydderspørsmål!I44</f>
        <v>0</v>
      </c>
      <c r="F5" s="10">
        <f>Krydderspørsmål!K44</f>
        <v>0</v>
      </c>
      <c r="G5" s="10">
        <f>Krydderspørsmål!M44</f>
        <v>0</v>
      </c>
      <c r="H5" s="10">
        <f>Krydderspørsmål!O44</f>
        <v>0</v>
      </c>
      <c r="I5" s="10">
        <f>Krydderspørsmål!Q44</f>
        <v>0</v>
      </c>
      <c r="J5" s="10">
        <f>Krydderspørsmål!S44</f>
        <v>0</v>
      </c>
      <c r="K5" s="10">
        <f>Krydderspørsmål!U44</f>
        <v>0</v>
      </c>
      <c r="L5" s="10">
        <f>Krydderspørsmål!W44</f>
        <v>0</v>
      </c>
      <c r="M5" s="10">
        <f>Krydderspørsmål!Y44</f>
        <v>0</v>
      </c>
      <c r="N5" s="10">
        <f>Krydderspørsmål!AA44</f>
        <v>0</v>
      </c>
      <c r="O5" s="10">
        <f>Krydderspørsmål!AC44</f>
        <v>2</v>
      </c>
      <c r="P5" s="10">
        <f>Krydderspørsmål!AE44</f>
        <v>0</v>
      </c>
      <c r="Q5" s="10">
        <f>Krydderspørsmål!AG44</f>
        <v>0</v>
      </c>
      <c r="R5" s="10">
        <f>Krydderspørsmål!AI44</f>
        <v>0</v>
      </c>
      <c r="S5" s="10">
        <f>Krydderspørsmål!AK44</f>
        <v>0</v>
      </c>
      <c r="T5" s="10">
        <f>Krydderspørsmål!AM44</f>
        <v>0</v>
      </c>
      <c r="U5" s="10">
        <f>Krydderspørsmål!AO44</f>
        <v>0</v>
      </c>
      <c r="V5" s="10">
        <f>Krydderspørsmål!AQ44</f>
        <v>0</v>
      </c>
      <c r="W5" s="10">
        <f>Krydderspørsmål!AS44</f>
        <v>0</v>
      </c>
      <c r="X5" s="10">
        <f>Krydderspørsmål!AU44</f>
        <v>2</v>
      </c>
      <c r="Y5" s="10">
        <f>Krydderspørsmål!AW44</f>
        <v>0</v>
      </c>
      <c r="Z5" s="10">
        <f>Krydderspørsmål!AY44</f>
        <v>0</v>
      </c>
      <c r="AA5" s="10">
        <f>Krydderspørsmål!BA44</f>
        <v>0</v>
      </c>
      <c r="AB5" s="10">
        <f>Krydderspørsmål!BC44</f>
        <v>0</v>
      </c>
      <c r="AC5" s="10">
        <f>Krydderspørsmål!BE44</f>
        <v>0</v>
      </c>
    </row>
    <row r="6" spans="2:29" ht="15" thickBot="1" x14ac:dyDescent="0.35">
      <c r="B6" s="243" t="s">
        <v>125</v>
      </c>
      <c r="C6" s="244"/>
      <c r="D6" s="129">
        <f t="shared" ref="D6:AB6" si="0">SUM(D3:D5)</f>
        <v>7</v>
      </c>
      <c r="E6" s="125">
        <f t="shared" si="0"/>
        <v>7</v>
      </c>
      <c r="F6" s="148">
        <f t="shared" si="0"/>
        <v>2</v>
      </c>
      <c r="G6" s="132">
        <f t="shared" si="0"/>
        <v>5</v>
      </c>
      <c r="H6" s="149">
        <f t="shared" si="0"/>
        <v>4</v>
      </c>
      <c r="I6" s="127">
        <f t="shared" si="0"/>
        <v>5</v>
      </c>
      <c r="J6" s="128">
        <f t="shared" si="0"/>
        <v>2</v>
      </c>
      <c r="K6" s="115">
        <f t="shared" si="0"/>
        <v>1</v>
      </c>
      <c r="L6" s="120">
        <f t="shared" si="0"/>
        <v>2</v>
      </c>
      <c r="M6" s="124">
        <f t="shared" si="0"/>
        <v>4</v>
      </c>
      <c r="N6" s="125">
        <f t="shared" si="0"/>
        <v>1</v>
      </c>
      <c r="O6" s="114">
        <f t="shared" si="0"/>
        <v>6</v>
      </c>
      <c r="P6" s="122">
        <f t="shared" si="0"/>
        <v>5</v>
      </c>
      <c r="Q6" s="123">
        <f t="shared" si="0"/>
        <v>2</v>
      </c>
      <c r="R6" s="113">
        <f t="shared" si="0"/>
        <v>4</v>
      </c>
      <c r="S6" s="115">
        <f t="shared" si="0"/>
        <v>10</v>
      </c>
      <c r="T6" s="119">
        <f t="shared" si="0"/>
        <v>7</v>
      </c>
      <c r="U6" s="120">
        <f t="shared" si="0"/>
        <v>2</v>
      </c>
      <c r="V6" s="121">
        <f t="shared" si="0"/>
        <v>4</v>
      </c>
      <c r="W6" s="117">
        <f t="shared" si="0"/>
        <v>2</v>
      </c>
      <c r="X6" s="132">
        <f t="shared" si="0"/>
        <v>4</v>
      </c>
      <c r="Y6" s="143">
        <f t="shared" si="0"/>
        <v>2</v>
      </c>
      <c r="Z6" s="125">
        <f t="shared" si="0"/>
        <v>10</v>
      </c>
      <c r="AA6" s="129">
        <f t="shared" si="0"/>
        <v>1</v>
      </c>
      <c r="AB6" s="147">
        <f t="shared" si="0"/>
        <v>2</v>
      </c>
      <c r="AC6" s="149">
        <f t="shared" ref="AC6" si="1">SUM(AC3:AC5)</f>
        <v>1</v>
      </c>
    </row>
    <row r="8" spans="2:29" ht="15" thickBot="1" x14ac:dyDescent="0.35">
      <c r="C8" s="242"/>
      <c r="D8" s="242"/>
    </row>
    <row r="9" spans="2:29" ht="15" thickBot="1" x14ac:dyDescent="0.35">
      <c r="B9" s="60" t="s">
        <v>146</v>
      </c>
      <c r="C9" s="60" t="s">
        <v>142</v>
      </c>
      <c r="D9" s="60" t="s">
        <v>143</v>
      </c>
    </row>
    <row r="10" spans="2:29" x14ac:dyDescent="0.3">
      <c r="B10" s="154">
        <v>1</v>
      </c>
      <c r="C10" s="47" t="str" cm="1">
        <f t="array" ref="C10:C35">_xlfn.SORTBY(TRANSPOSE(D2:AC2),TRANSPOSE(D6:AC6),-1)</f>
        <v>Håkon M</v>
      </c>
      <c r="D10" s="47" cm="1">
        <f t="array" ref="D10:D35">_xlfn.SORTBY(TRANSPOSE(D6:AC6),TRANSPOSE(D6:AC6),-1)</f>
        <v>10</v>
      </c>
    </row>
    <row r="11" spans="2:29" x14ac:dyDescent="0.3">
      <c r="B11" s="155">
        <v>2</v>
      </c>
      <c r="C11" s="48" t="str">
        <v>Magnus</v>
      </c>
      <c r="D11" s="48">
        <v>10</v>
      </c>
    </row>
    <row r="12" spans="2:29" x14ac:dyDescent="0.3">
      <c r="B12" s="155">
        <v>3</v>
      </c>
      <c r="C12" s="48" t="str">
        <v>Skjalg</v>
      </c>
      <c r="D12" s="48">
        <v>7</v>
      </c>
    </row>
    <row r="13" spans="2:29" x14ac:dyDescent="0.3">
      <c r="B13" s="155">
        <v>4</v>
      </c>
      <c r="C13" s="48" t="str">
        <v>Sindre</v>
      </c>
      <c r="D13" s="48">
        <v>7</v>
      </c>
    </row>
    <row r="14" spans="2:29" x14ac:dyDescent="0.3">
      <c r="B14" s="155">
        <v>5</v>
      </c>
      <c r="C14" s="48" t="str">
        <v>Bent Arne</v>
      </c>
      <c r="D14" s="48">
        <v>7</v>
      </c>
    </row>
    <row r="15" spans="2:29" x14ac:dyDescent="0.3">
      <c r="B15" s="155">
        <v>6</v>
      </c>
      <c r="C15" s="48" t="str">
        <v>Trond</v>
      </c>
      <c r="D15" s="48">
        <v>6</v>
      </c>
    </row>
    <row r="16" spans="2:29" x14ac:dyDescent="0.3">
      <c r="B16" s="155">
        <v>7</v>
      </c>
      <c r="C16" s="48" t="str">
        <v>Ole</v>
      </c>
      <c r="D16" s="48">
        <v>5</v>
      </c>
    </row>
    <row r="17" spans="2:4" x14ac:dyDescent="0.3">
      <c r="B17" s="155">
        <v>8</v>
      </c>
      <c r="C17" s="48" t="str">
        <v>Margret</v>
      </c>
      <c r="D17" s="48">
        <v>5</v>
      </c>
    </row>
    <row r="18" spans="2:4" x14ac:dyDescent="0.3">
      <c r="B18" s="155">
        <v>9</v>
      </c>
      <c r="C18" s="48" t="str">
        <v>Anders</v>
      </c>
      <c r="D18" s="48">
        <v>5</v>
      </c>
    </row>
    <row r="19" spans="2:4" x14ac:dyDescent="0.3">
      <c r="B19" s="155">
        <v>10</v>
      </c>
      <c r="C19" s="48" t="str">
        <v>Eirik</v>
      </c>
      <c r="D19" s="48">
        <v>4</v>
      </c>
    </row>
    <row r="20" spans="2:4" x14ac:dyDescent="0.3">
      <c r="B20" s="155">
        <v>11</v>
      </c>
      <c r="C20" s="48" t="str">
        <v>Sofia</v>
      </c>
      <c r="D20" s="48">
        <v>4</v>
      </c>
    </row>
    <row r="21" spans="2:4" x14ac:dyDescent="0.3">
      <c r="B21" s="155">
        <v>12</v>
      </c>
      <c r="C21" s="48" t="str">
        <v>Erling</v>
      </c>
      <c r="D21" s="48">
        <v>4</v>
      </c>
    </row>
    <row r="22" spans="2:4" x14ac:dyDescent="0.3">
      <c r="B22" s="155">
        <v>13</v>
      </c>
      <c r="C22" s="48" t="str">
        <v>Lisa</v>
      </c>
      <c r="D22" s="48">
        <v>4</v>
      </c>
    </row>
    <row r="23" spans="2:4" x14ac:dyDescent="0.3">
      <c r="B23" s="155">
        <v>14</v>
      </c>
      <c r="C23" s="48" t="str">
        <v>Jonas G</v>
      </c>
      <c r="D23" s="48">
        <v>4</v>
      </c>
    </row>
    <row r="24" spans="2:4" x14ac:dyDescent="0.3">
      <c r="B24" s="155">
        <v>15</v>
      </c>
      <c r="C24" s="48" t="str">
        <v>Anne Marte</v>
      </c>
      <c r="D24" s="48">
        <v>2</v>
      </c>
    </row>
    <row r="25" spans="2:4" x14ac:dyDescent="0.3">
      <c r="B25" s="155">
        <v>16</v>
      </c>
      <c r="C25" s="48" t="str">
        <v>Håkon Emil</v>
      </c>
      <c r="D25" s="48">
        <v>2</v>
      </c>
    </row>
    <row r="26" spans="2:4" x14ac:dyDescent="0.3">
      <c r="B26" s="155">
        <v>17</v>
      </c>
      <c r="C26" s="48" t="str">
        <v>Hilde</v>
      </c>
      <c r="D26" s="48">
        <v>2</v>
      </c>
    </row>
    <row r="27" spans="2:4" x14ac:dyDescent="0.3">
      <c r="B27" s="155">
        <v>18</v>
      </c>
      <c r="C27" s="48" t="str">
        <v>Ida</v>
      </c>
      <c r="D27" s="48">
        <v>2</v>
      </c>
    </row>
    <row r="28" spans="2:4" x14ac:dyDescent="0.3">
      <c r="B28" s="155">
        <v>19</v>
      </c>
      <c r="C28" s="48" t="str">
        <v>Gunvor</v>
      </c>
      <c r="D28" s="48">
        <v>2</v>
      </c>
    </row>
    <row r="29" spans="2:4" x14ac:dyDescent="0.3">
      <c r="B29" s="155">
        <v>20</v>
      </c>
      <c r="C29" s="48" t="str">
        <v>Espen</v>
      </c>
      <c r="D29" s="48">
        <v>2</v>
      </c>
    </row>
    <row r="30" spans="2:4" x14ac:dyDescent="0.3">
      <c r="B30" s="155">
        <v>21</v>
      </c>
      <c r="C30" s="48" t="str">
        <v>Kay Robin</v>
      </c>
      <c r="D30" s="48">
        <v>2</v>
      </c>
    </row>
    <row r="31" spans="2:4" x14ac:dyDescent="0.3">
      <c r="B31" s="155">
        <v>22</v>
      </c>
      <c r="C31" s="48" t="str">
        <v>Viktor</v>
      </c>
      <c r="D31" s="48">
        <v>2</v>
      </c>
    </row>
    <row r="32" spans="2:4" x14ac:dyDescent="0.3">
      <c r="B32" s="155">
        <v>23</v>
      </c>
      <c r="C32" s="48" t="str">
        <v>Morten</v>
      </c>
      <c r="D32" s="48">
        <v>1</v>
      </c>
    </row>
    <row r="33" spans="2:4" x14ac:dyDescent="0.3">
      <c r="B33" s="155">
        <v>24</v>
      </c>
      <c r="C33" s="48" t="str">
        <v>Nicholas</v>
      </c>
      <c r="D33" s="48">
        <v>1</v>
      </c>
    </row>
    <row r="34" spans="2:4" x14ac:dyDescent="0.3">
      <c r="B34" s="155">
        <v>25</v>
      </c>
      <c r="C34" s="48" t="str">
        <v>Jonas W</v>
      </c>
      <c r="D34" s="48">
        <v>1</v>
      </c>
    </row>
    <row r="35" spans="2:4" ht="15" thickBot="1" x14ac:dyDescent="0.35">
      <c r="B35" s="156">
        <v>26</v>
      </c>
      <c r="C35" s="49" t="str">
        <v>Kajsa</v>
      </c>
      <c r="D35" s="49">
        <v>1</v>
      </c>
    </row>
  </sheetData>
  <mergeCells count="6">
    <mergeCell ref="C8:D8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Gruppespill</vt:lpstr>
      <vt:lpstr>Utslagsrunder</vt:lpstr>
      <vt:lpstr>Krydderspørsmål</vt:lpstr>
      <vt:lpstr>Sammenlagt og tabell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Erling Stray</dc:creator>
  <cp:lastModifiedBy>Erling Stray</cp:lastModifiedBy>
  <dcterms:created xsi:type="dcterms:W3CDTF">2026-06-01T11:09:17Z</dcterms:created>
  <dcterms:modified xsi:type="dcterms:W3CDTF">2026-06-13T11:29:15Z</dcterms:modified>
</cp:coreProperties>
</file>