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kon\Downloads\"/>
    </mc:Choice>
  </mc:AlternateContent>
  <xr:revisionPtr revIDLastSave="0" documentId="13_ncr:1_{4AA67614-A9E6-487F-A5C5-CE19EDD0C0D3}" xr6:coauthVersionLast="47" xr6:coauthVersionMax="47" xr10:uidLastSave="{00000000-0000-0000-0000-000000000000}"/>
  <bookViews>
    <workbookView xWindow="-120" yWindow="-120" windowWidth="38640" windowHeight="21120" activeTab="2" xr2:uid="{E8AE97E4-6608-4AF7-A972-B11E82B68E07}"/>
  </bookViews>
  <sheets>
    <sheet name="Gruppespill" sheetId="1" r:id="rId1"/>
    <sheet name="Utslagsrunder" sheetId="3" r:id="rId2"/>
    <sheet name="Krydderspørsmål" sheetId="2" r:id="rId3"/>
    <sheet name="Sammenlagt og tabel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4" l="1"/>
  <c r="R43" i="2"/>
  <c r="R42" i="2"/>
  <c r="R41" i="2"/>
  <c r="R39" i="2"/>
  <c r="R38" i="2"/>
  <c r="R37" i="2"/>
  <c r="R35" i="2"/>
  <c r="R34" i="2"/>
  <c r="R33" i="2"/>
  <c r="R31" i="2"/>
  <c r="R30" i="2"/>
  <c r="R29" i="2"/>
  <c r="R27" i="2"/>
  <c r="R26" i="2"/>
  <c r="R25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7" i="2"/>
  <c r="R6" i="2"/>
  <c r="R5" i="2"/>
  <c r="R4" i="2"/>
  <c r="R3" i="2"/>
  <c r="AG39" i="3"/>
  <c r="AG37" i="3"/>
  <c r="AG35" i="3"/>
  <c r="AG34" i="3"/>
  <c r="AG32" i="3"/>
  <c r="AG31" i="3"/>
  <c r="AG30" i="3"/>
  <c r="AG29" i="3"/>
  <c r="AG27" i="3"/>
  <c r="AG26" i="3"/>
  <c r="AG25" i="3"/>
  <c r="AG24" i="3"/>
  <c r="AG23" i="3"/>
  <c r="AG22" i="3"/>
  <c r="AG21" i="3"/>
  <c r="AG20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G5" i="3"/>
  <c r="AG4" i="3"/>
  <c r="AG3" i="3"/>
  <c r="AD40" i="3" s="1"/>
  <c r="AG85" i="1"/>
  <c r="AG84" i="1"/>
  <c r="AG83" i="1"/>
  <c r="AG82" i="1"/>
  <c r="AG81" i="1"/>
  <c r="AG80" i="1"/>
  <c r="AG78" i="1"/>
  <c r="AG77" i="1"/>
  <c r="AG76" i="1"/>
  <c r="AG75" i="1"/>
  <c r="AG74" i="1"/>
  <c r="AG73" i="1"/>
  <c r="AG71" i="1"/>
  <c r="AG70" i="1"/>
  <c r="AG69" i="1"/>
  <c r="AG68" i="1"/>
  <c r="AG67" i="1"/>
  <c r="AG66" i="1"/>
  <c r="AG64" i="1"/>
  <c r="AG63" i="1"/>
  <c r="AG62" i="1"/>
  <c r="AG61" i="1"/>
  <c r="AG60" i="1"/>
  <c r="AG59" i="1"/>
  <c r="AG57" i="1"/>
  <c r="AG56" i="1"/>
  <c r="AG55" i="1"/>
  <c r="AG54" i="1"/>
  <c r="AG53" i="1"/>
  <c r="AG52" i="1"/>
  <c r="AG50" i="1"/>
  <c r="AG49" i="1"/>
  <c r="AG48" i="1"/>
  <c r="AG47" i="1"/>
  <c r="AG46" i="1"/>
  <c r="AG45" i="1"/>
  <c r="AG43" i="1"/>
  <c r="AG42" i="1"/>
  <c r="AG41" i="1"/>
  <c r="AG40" i="1"/>
  <c r="AG39" i="1"/>
  <c r="AG38" i="1"/>
  <c r="AG36" i="1"/>
  <c r="AG35" i="1"/>
  <c r="AG34" i="1"/>
  <c r="AG33" i="1"/>
  <c r="AG32" i="1"/>
  <c r="AG31" i="1"/>
  <c r="AG29" i="1"/>
  <c r="AG28" i="1"/>
  <c r="AG27" i="1"/>
  <c r="AG26" i="1"/>
  <c r="AG25" i="1"/>
  <c r="AG24" i="1"/>
  <c r="AG22" i="1"/>
  <c r="AG21" i="1"/>
  <c r="AG20" i="1"/>
  <c r="AG19" i="1"/>
  <c r="AG18" i="1"/>
  <c r="AG17" i="1"/>
  <c r="AG15" i="1"/>
  <c r="AG14" i="1"/>
  <c r="AG13" i="1"/>
  <c r="AG12" i="1"/>
  <c r="AG11" i="1"/>
  <c r="AG10" i="1"/>
  <c r="AG8" i="1"/>
  <c r="AG7" i="1"/>
  <c r="AG6" i="1"/>
  <c r="AG5" i="1"/>
  <c r="AG4" i="1"/>
  <c r="AG3" i="1"/>
  <c r="P22" i="2"/>
  <c r="N22" i="2"/>
  <c r="L22" i="2"/>
  <c r="J22" i="2"/>
  <c r="H22" i="2"/>
  <c r="F9" i="2"/>
  <c r="F8" i="2"/>
  <c r="J17" i="2"/>
  <c r="N23" i="2"/>
  <c r="P23" i="2"/>
  <c r="L23" i="2"/>
  <c r="J23" i="2"/>
  <c r="H23" i="2"/>
  <c r="P43" i="2"/>
  <c r="P42" i="2"/>
  <c r="P41" i="2"/>
  <c r="P39" i="2"/>
  <c r="P38" i="2"/>
  <c r="P37" i="2"/>
  <c r="P35" i="2"/>
  <c r="P34" i="2"/>
  <c r="P33" i="2"/>
  <c r="P31" i="2"/>
  <c r="P30" i="2"/>
  <c r="P29" i="2"/>
  <c r="P27" i="2"/>
  <c r="P26" i="2"/>
  <c r="P25" i="2"/>
  <c r="P21" i="2"/>
  <c r="P20" i="2"/>
  <c r="P19" i="2"/>
  <c r="P18" i="2"/>
  <c r="P17" i="2"/>
  <c r="P16" i="2"/>
  <c r="P15" i="2"/>
  <c r="P14" i="2"/>
  <c r="P13" i="2"/>
  <c r="P12" i="2"/>
  <c r="P11" i="2"/>
  <c r="P10" i="2"/>
  <c r="P7" i="2"/>
  <c r="P6" i="2"/>
  <c r="P5" i="2"/>
  <c r="P4" i="2"/>
  <c r="P3" i="2"/>
  <c r="N43" i="2"/>
  <c r="N42" i="2"/>
  <c r="N41" i="2"/>
  <c r="N39" i="2"/>
  <c r="N38" i="2"/>
  <c r="N37" i="2"/>
  <c r="N35" i="2"/>
  <c r="N34" i="2"/>
  <c r="N33" i="2"/>
  <c r="N31" i="2"/>
  <c r="N30" i="2"/>
  <c r="N29" i="2"/>
  <c r="N27" i="2"/>
  <c r="N26" i="2"/>
  <c r="N25" i="2"/>
  <c r="N21" i="2"/>
  <c r="N20" i="2"/>
  <c r="N19" i="2"/>
  <c r="N18" i="2"/>
  <c r="N17" i="2"/>
  <c r="N16" i="2"/>
  <c r="N15" i="2"/>
  <c r="N14" i="2"/>
  <c r="N13" i="2"/>
  <c r="N12" i="2"/>
  <c r="N11" i="2"/>
  <c r="N10" i="2"/>
  <c r="N7" i="2"/>
  <c r="N6" i="2"/>
  <c r="N5" i="2"/>
  <c r="N4" i="2"/>
  <c r="N3" i="2"/>
  <c r="L43" i="2"/>
  <c r="L42" i="2"/>
  <c r="L41" i="2"/>
  <c r="L39" i="2"/>
  <c r="L38" i="2"/>
  <c r="L37" i="2"/>
  <c r="L35" i="2"/>
  <c r="L34" i="2"/>
  <c r="L33" i="2"/>
  <c r="L31" i="2"/>
  <c r="L30" i="2"/>
  <c r="L29" i="2"/>
  <c r="L27" i="2"/>
  <c r="L26" i="2"/>
  <c r="L25" i="2"/>
  <c r="L21" i="2"/>
  <c r="L20" i="2"/>
  <c r="L19" i="2"/>
  <c r="L18" i="2"/>
  <c r="L17" i="2"/>
  <c r="L16" i="2"/>
  <c r="L15" i="2"/>
  <c r="L14" i="2"/>
  <c r="L13" i="2"/>
  <c r="L12" i="2"/>
  <c r="L11" i="2"/>
  <c r="L10" i="2"/>
  <c r="L7" i="2"/>
  <c r="L6" i="2"/>
  <c r="L5" i="2"/>
  <c r="L4" i="2"/>
  <c r="L3" i="2"/>
  <c r="J43" i="2"/>
  <c r="J42" i="2"/>
  <c r="J41" i="2"/>
  <c r="J39" i="2"/>
  <c r="J38" i="2"/>
  <c r="J37" i="2"/>
  <c r="J35" i="2"/>
  <c r="J34" i="2"/>
  <c r="J33" i="2"/>
  <c r="J31" i="2"/>
  <c r="J30" i="2"/>
  <c r="J29" i="2"/>
  <c r="J27" i="2"/>
  <c r="J26" i="2"/>
  <c r="J25" i="2"/>
  <c r="J21" i="2"/>
  <c r="J20" i="2"/>
  <c r="J19" i="2"/>
  <c r="J18" i="2"/>
  <c r="J16" i="2"/>
  <c r="J15" i="2"/>
  <c r="J14" i="2"/>
  <c r="J13" i="2"/>
  <c r="J12" i="2"/>
  <c r="J11" i="2"/>
  <c r="J10" i="2"/>
  <c r="J7" i="2"/>
  <c r="J6" i="2"/>
  <c r="J5" i="2"/>
  <c r="J4" i="2"/>
  <c r="J3" i="2"/>
  <c r="AC39" i="3"/>
  <c r="AC37" i="3"/>
  <c r="AC35" i="3"/>
  <c r="AC34" i="3"/>
  <c r="AC32" i="3"/>
  <c r="AC31" i="3"/>
  <c r="AC30" i="3"/>
  <c r="AC29" i="3"/>
  <c r="AC27" i="3"/>
  <c r="AC26" i="3"/>
  <c r="AC25" i="3"/>
  <c r="AC24" i="3"/>
  <c r="AC23" i="3"/>
  <c r="AC22" i="3"/>
  <c r="AC21" i="3"/>
  <c r="AC20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6" i="3"/>
  <c r="AC5" i="3"/>
  <c r="AC4" i="3"/>
  <c r="AC3" i="3"/>
  <c r="Y39" i="3"/>
  <c r="Y37" i="3"/>
  <c r="Y35" i="3"/>
  <c r="Y34" i="3"/>
  <c r="Y32" i="3"/>
  <c r="Y31" i="3"/>
  <c r="Y30" i="3"/>
  <c r="Y29" i="3"/>
  <c r="Y27" i="3"/>
  <c r="Y26" i="3"/>
  <c r="Y25" i="3"/>
  <c r="Y24" i="3"/>
  <c r="Y23" i="3"/>
  <c r="Y22" i="3"/>
  <c r="Y21" i="3"/>
  <c r="Y20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Y5" i="3"/>
  <c r="Y4" i="3"/>
  <c r="Y3" i="3"/>
  <c r="U39" i="3"/>
  <c r="U37" i="3"/>
  <c r="U35" i="3"/>
  <c r="U34" i="3"/>
  <c r="U32" i="3"/>
  <c r="U31" i="3"/>
  <c r="U30" i="3"/>
  <c r="U29" i="3"/>
  <c r="U27" i="3"/>
  <c r="U26" i="3"/>
  <c r="U25" i="3"/>
  <c r="U24" i="3"/>
  <c r="U23" i="3"/>
  <c r="U22" i="3"/>
  <c r="U21" i="3"/>
  <c r="U20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U3" i="3"/>
  <c r="Q39" i="3"/>
  <c r="Q37" i="3"/>
  <c r="Q35" i="3"/>
  <c r="Q34" i="3"/>
  <c r="Q32" i="3"/>
  <c r="Q31" i="3"/>
  <c r="Q30" i="3"/>
  <c r="Q29" i="3"/>
  <c r="Q27" i="3"/>
  <c r="Q26" i="3"/>
  <c r="Q25" i="3"/>
  <c r="Q24" i="3"/>
  <c r="Q23" i="3"/>
  <c r="Q22" i="3"/>
  <c r="Q21" i="3"/>
  <c r="Q20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AC78" i="1"/>
  <c r="Y78" i="1"/>
  <c r="U78" i="1"/>
  <c r="Q78" i="1"/>
  <c r="AC77" i="1"/>
  <c r="Y77" i="1"/>
  <c r="U77" i="1"/>
  <c r="Q77" i="1"/>
  <c r="AC76" i="1"/>
  <c r="Y76" i="1"/>
  <c r="U76" i="1"/>
  <c r="Q76" i="1"/>
  <c r="AC75" i="1"/>
  <c r="Y75" i="1"/>
  <c r="U75" i="1"/>
  <c r="Q75" i="1"/>
  <c r="AC74" i="1"/>
  <c r="Y74" i="1"/>
  <c r="U74" i="1"/>
  <c r="Q74" i="1"/>
  <c r="AC73" i="1"/>
  <c r="Y73" i="1"/>
  <c r="U73" i="1"/>
  <c r="Q73" i="1"/>
  <c r="AC71" i="1"/>
  <c r="Y71" i="1"/>
  <c r="U71" i="1"/>
  <c r="Q71" i="1"/>
  <c r="AC70" i="1"/>
  <c r="Y70" i="1"/>
  <c r="U70" i="1"/>
  <c r="Q70" i="1"/>
  <c r="AC69" i="1"/>
  <c r="Y69" i="1"/>
  <c r="U69" i="1"/>
  <c r="Q69" i="1"/>
  <c r="AC68" i="1"/>
  <c r="Y68" i="1"/>
  <c r="U68" i="1"/>
  <c r="Q68" i="1"/>
  <c r="AC67" i="1"/>
  <c r="Y67" i="1"/>
  <c r="U67" i="1"/>
  <c r="Q67" i="1"/>
  <c r="AC66" i="1"/>
  <c r="Y66" i="1"/>
  <c r="U66" i="1"/>
  <c r="Q66" i="1"/>
  <c r="AC64" i="1"/>
  <c r="Y64" i="1"/>
  <c r="U64" i="1"/>
  <c r="Q64" i="1"/>
  <c r="AC63" i="1"/>
  <c r="Y63" i="1"/>
  <c r="U63" i="1"/>
  <c r="Q63" i="1"/>
  <c r="AC62" i="1"/>
  <c r="Y62" i="1"/>
  <c r="U62" i="1"/>
  <c r="Q62" i="1"/>
  <c r="AC61" i="1"/>
  <c r="Y61" i="1"/>
  <c r="U61" i="1"/>
  <c r="Q61" i="1"/>
  <c r="AC60" i="1"/>
  <c r="Y60" i="1"/>
  <c r="U60" i="1"/>
  <c r="Q60" i="1"/>
  <c r="AC59" i="1"/>
  <c r="Y59" i="1"/>
  <c r="U59" i="1"/>
  <c r="Q59" i="1"/>
  <c r="AC57" i="1"/>
  <c r="Y57" i="1"/>
  <c r="U57" i="1"/>
  <c r="Q57" i="1"/>
  <c r="AC56" i="1"/>
  <c r="Y56" i="1"/>
  <c r="U56" i="1"/>
  <c r="Q56" i="1"/>
  <c r="AC55" i="1"/>
  <c r="Y55" i="1"/>
  <c r="U55" i="1"/>
  <c r="Q55" i="1"/>
  <c r="AC54" i="1"/>
  <c r="Y54" i="1"/>
  <c r="U54" i="1"/>
  <c r="Q54" i="1"/>
  <c r="AC53" i="1"/>
  <c r="Y53" i="1"/>
  <c r="U53" i="1"/>
  <c r="Q53" i="1"/>
  <c r="AC52" i="1"/>
  <c r="Y52" i="1"/>
  <c r="U52" i="1"/>
  <c r="Q52" i="1"/>
  <c r="AC50" i="1"/>
  <c r="Y50" i="1"/>
  <c r="U50" i="1"/>
  <c r="Q50" i="1"/>
  <c r="AC49" i="1"/>
  <c r="Y49" i="1"/>
  <c r="U49" i="1"/>
  <c r="Q49" i="1"/>
  <c r="AC48" i="1"/>
  <c r="Y48" i="1"/>
  <c r="U48" i="1"/>
  <c r="Q48" i="1"/>
  <c r="AC47" i="1"/>
  <c r="Y47" i="1"/>
  <c r="U47" i="1"/>
  <c r="Q47" i="1"/>
  <c r="AC46" i="1"/>
  <c r="Y46" i="1"/>
  <c r="U46" i="1"/>
  <c r="Q46" i="1"/>
  <c r="AC45" i="1"/>
  <c r="Y45" i="1"/>
  <c r="U45" i="1"/>
  <c r="Q45" i="1"/>
  <c r="AC43" i="1"/>
  <c r="Y43" i="1"/>
  <c r="U43" i="1"/>
  <c r="Q43" i="1"/>
  <c r="AC42" i="1"/>
  <c r="Y42" i="1"/>
  <c r="U42" i="1"/>
  <c r="Q42" i="1"/>
  <c r="AC41" i="1"/>
  <c r="Y41" i="1"/>
  <c r="U41" i="1"/>
  <c r="Q41" i="1"/>
  <c r="AC40" i="1"/>
  <c r="Y40" i="1"/>
  <c r="U40" i="1"/>
  <c r="Q40" i="1"/>
  <c r="AC39" i="1"/>
  <c r="Y39" i="1"/>
  <c r="U39" i="1"/>
  <c r="Q39" i="1"/>
  <c r="AC38" i="1"/>
  <c r="Y38" i="1"/>
  <c r="U38" i="1"/>
  <c r="Q38" i="1"/>
  <c r="AC36" i="1"/>
  <c r="Y36" i="1"/>
  <c r="U36" i="1"/>
  <c r="Q36" i="1"/>
  <c r="AC35" i="1"/>
  <c r="Y35" i="1"/>
  <c r="U35" i="1"/>
  <c r="Q35" i="1"/>
  <c r="AC34" i="1"/>
  <c r="Y34" i="1"/>
  <c r="U34" i="1"/>
  <c r="Q34" i="1"/>
  <c r="AC33" i="1"/>
  <c r="Y33" i="1"/>
  <c r="U33" i="1"/>
  <c r="Q33" i="1"/>
  <c r="AC32" i="1"/>
  <c r="Y32" i="1"/>
  <c r="U32" i="1"/>
  <c r="Q32" i="1"/>
  <c r="AC31" i="1"/>
  <c r="Y31" i="1"/>
  <c r="U31" i="1"/>
  <c r="Q31" i="1"/>
  <c r="AC29" i="1"/>
  <c r="Y29" i="1"/>
  <c r="U29" i="1"/>
  <c r="Q29" i="1"/>
  <c r="AC28" i="1"/>
  <c r="Y28" i="1"/>
  <c r="U28" i="1"/>
  <c r="Q28" i="1"/>
  <c r="AC27" i="1"/>
  <c r="Y27" i="1"/>
  <c r="U27" i="1"/>
  <c r="Q27" i="1"/>
  <c r="AC26" i="1"/>
  <c r="Y26" i="1"/>
  <c r="U26" i="1"/>
  <c r="Q26" i="1"/>
  <c r="AC25" i="1"/>
  <c r="Y25" i="1"/>
  <c r="U25" i="1"/>
  <c r="Q25" i="1"/>
  <c r="AC24" i="1"/>
  <c r="Y24" i="1"/>
  <c r="U24" i="1"/>
  <c r="Q24" i="1"/>
  <c r="AC22" i="1"/>
  <c r="Y22" i="1"/>
  <c r="U22" i="1"/>
  <c r="Q22" i="1"/>
  <c r="AC21" i="1"/>
  <c r="Y21" i="1"/>
  <c r="U21" i="1"/>
  <c r="Q21" i="1"/>
  <c r="AC20" i="1"/>
  <c r="Y20" i="1"/>
  <c r="U20" i="1"/>
  <c r="Q20" i="1"/>
  <c r="AC19" i="1"/>
  <c r="Y19" i="1"/>
  <c r="U19" i="1"/>
  <c r="Q19" i="1"/>
  <c r="AC18" i="1"/>
  <c r="Y18" i="1"/>
  <c r="U18" i="1"/>
  <c r="Q18" i="1"/>
  <c r="AC17" i="1"/>
  <c r="Y17" i="1"/>
  <c r="U17" i="1"/>
  <c r="Q17" i="1"/>
  <c r="AC15" i="1"/>
  <c r="Y15" i="1"/>
  <c r="U15" i="1"/>
  <c r="Q15" i="1"/>
  <c r="AC14" i="1"/>
  <c r="Y14" i="1"/>
  <c r="U14" i="1"/>
  <c r="Q14" i="1"/>
  <c r="AC13" i="1"/>
  <c r="Y13" i="1"/>
  <c r="U13" i="1"/>
  <c r="Q13" i="1"/>
  <c r="AC12" i="1"/>
  <c r="Y12" i="1"/>
  <c r="U12" i="1"/>
  <c r="Q12" i="1"/>
  <c r="AC11" i="1"/>
  <c r="Y11" i="1"/>
  <c r="U11" i="1"/>
  <c r="Q11" i="1"/>
  <c r="AC10" i="1"/>
  <c r="Y10" i="1"/>
  <c r="U10" i="1"/>
  <c r="Q10" i="1"/>
  <c r="Y85" i="1"/>
  <c r="Y84" i="1"/>
  <c r="Y83" i="1"/>
  <c r="Y82" i="1"/>
  <c r="Y81" i="1"/>
  <c r="Y80" i="1"/>
  <c r="Y8" i="1"/>
  <c r="Y7" i="1"/>
  <c r="Y6" i="1"/>
  <c r="Y5" i="1"/>
  <c r="Y4" i="1"/>
  <c r="Y3" i="1"/>
  <c r="AC85" i="1"/>
  <c r="AC84" i="1"/>
  <c r="AC83" i="1"/>
  <c r="AC82" i="1"/>
  <c r="AC81" i="1"/>
  <c r="AC80" i="1"/>
  <c r="AC8" i="1"/>
  <c r="AC7" i="1"/>
  <c r="AC6" i="1"/>
  <c r="AC5" i="1"/>
  <c r="AC4" i="1"/>
  <c r="AC3" i="1"/>
  <c r="Q85" i="1"/>
  <c r="Q84" i="1"/>
  <c r="Q83" i="1"/>
  <c r="Q82" i="1"/>
  <c r="Q81" i="1"/>
  <c r="Q80" i="1"/>
  <c r="Q8" i="1"/>
  <c r="Q7" i="1"/>
  <c r="Q6" i="1"/>
  <c r="Q5" i="1"/>
  <c r="Q4" i="1"/>
  <c r="Q3" i="1"/>
  <c r="U80" i="1"/>
  <c r="U81" i="1"/>
  <c r="U82" i="1"/>
  <c r="U83" i="1"/>
  <c r="U84" i="1"/>
  <c r="U85" i="1"/>
  <c r="U8" i="1"/>
  <c r="U7" i="1"/>
  <c r="U6" i="1"/>
  <c r="U5" i="1"/>
  <c r="U4" i="1"/>
  <c r="U3" i="1"/>
  <c r="H43" i="2"/>
  <c r="H42" i="2"/>
  <c r="H41" i="2"/>
  <c r="H39" i="2"/>
  <c r="H38" i="2"/>
  <c r="H37" i="2"/>
  <c r="H35" i="2"/>
  <c r="H34" i="2"/>
  <c r="H33" i="2"/>
  <c r="H21" i="2"/>
  <c r="H31" i="2"/>
  <c r="H30" i="2"/>
  <c r="H29" i="2"/>
  <c r="H27" i="2"/>
  <c r="H26" i="2"/>
  <c r="H25" i="2"/>
  <c r="M34" i="3"/>
  <c r="M39" i="3"/>
  <c r="M37" i="3"/>
  <c r="M35" i="3"/>
  <c r="M32" i="3"/>
  <c r="M31" i="3"/>
  <c r="M30" i="3"/>
  <c r="M29" i="3"/>
  <c r="M26" i="3"/>
  <c r="M25" i="3"/>
  <c r="M24" i="3"/>
  <c r="M21" i="3"/>
  <c r="M22" i="3"/>
  <c r="M23" i="3"/>
  <c r="M11" i="3"/>
  <c r="M10" i="3"/>
  <c r="M9" i="3"/>
  <c r="M8" i="3"/>
  <c r="M27" i="3"/>
  <c r="M20" i="3"/>
  <c r="M18" i="3"/>
  <c r="M17" i="3"/>
  <c r="M16" i="3"/>
  <c r="M15" i="3"/>
  <c r="M14" i="3"/>
  <c r="M13" i="3"/>
  <c r="M12" i="3"/>
  <c r="M7" i="3"/>
  <c r="M6" i="3"/>
  <c r="M5" i="3"/>
  <c r="M4" i="3"/>
  <c r="M3" i="3"/>
  <c r="H20" i="2"/>
  <c r="H19" i="2"/>
  <c r="H18" i="2"/>
  <c r="H17" i="2"/>
  <c r="H16" i="2"/>
  <c r="H15" i="2"/>
  <c r="H7" i="2"/>
  <c r="H6" i="2"/>
  <c r="H5" i="2"/>
  <c r="H4" i="2"/>
  <c r="H3" i="2"/>
  <c r="H13" i="2"/>
  <c r="H14" i="2"/>
  <c r="H12" i="2"/>
  <c r="H11" i="2"/>
  <c r="H10" i="2"/>
  <c r="M3" i="1"/>
  <c r="M85" i="1"/>
  <c r="M84" i="1"/>
  <c r="M83" i="1"/>
  <c r="M82" i="1"/>
  <c r="M81" i="1"/>
  <c r="M80" i="1"/>
  <c r="M78" i="1"/>
  <c r="M77" i="1"/>
  <c r="M76" i="1"/>
  <c r="M75" i="1"/>
  <c r="M74" i="1"/>
  <c r="M73" i="1"/>
  <c r="M71" i="1"/>
  <c r="M70" i="1"/>
  <c r="M69" i="1"/>
  <c r="M68" i="1"/>
  <c r="M67" i="1"/>
  <c r="M66" i="1"/>
  <c r="M64" i="1"/>
  <c r="M63" i="1"/>
  <c r="M62" i="1"/>
  <c r="M61" i="1"/>
  <c r="M60" i="1"/>
  <c r="M59" i="1"/>
  <c r="M31" i="1"/>
  <c r="M32" i="1"/>
  <c r="M33" i="1"/>
  <c r="M34" i="1"/>
  <c r="M35" i="1"/>
  <c r="M36" i="1"/>
  <c r="M38" i="1"/>
  <c r="M39" i="1"/>
  <c r="M40" i="1"/>
  <c r="M41" i="1"/>
  <c r="M42" i="1"/>
  <c r="M43" i="1"/>
  <c r="M45" i="1"/>
  <c r="M46" i="1"/>
  <c r="M47" i="1"/>
  <c r="M48" i="1"/>
  <c r="M49" i="1"/>
  <c r="M50" i="1"/>
  <c r="M52" i="1"/>
  <c r="M53" i="1"/>
  <c r="M54" i="1"/>
  <c r="M55" i="1"/>
  <c r="M56" i="1"/>
  <c r="M57" i="1"/>
  <c r="M17" i="1"/>
  <c r="M18" i="1"/>
  <c r="M19" i="1"/>
  <c r="M20" i="1"/>
  <c r="M21" i="1"/>
  <c r="M22" i="1"/>
  <c r="M24" i="1"/>
  <c r="M25" i="1"/>
  <c r="M26" i="1"/>
  <c r="M27" i="1"/>
  <c r="M28" i="1"/>
  <c r="M29" i="1"/>
  <c r="M10" i="1"/>
  <c r="M11" i="1"/>
  <c r="M12" i="1"/>
  <c r="M13" i="1"/>
  <c r="M14" i="1"/>
  <c r="M15" i="1"/>
  <c r="M4" i="1"/>
  <c r="M5" i="1"/>
  <c r="M6" i="1"/>
  <c r="M7" i="1"/>
  <c r="M8" i="1"/>
  <c r="Q44" i="2" l="1"/>
  <c r="I5" i="4" s="1"/>
  <c r="AD86" i="1"/>
  <c r="I3" i="4" s="1"/>
  <c r="J40" i="3"/>
  <c r="D4" i="4" s="1"/>
  <c r="V40" i="3"/>
  <c r="G4" i="4" s="1"/>
  <c r="N40" i="3"/>
  <c r="E4" i="4" s="1"/>
  <c r="R40" i="3"/>
  <c r="F4" i="4" s="1"/>
  <c r="Z40" i="3"/>
  <c r="H4" i="4" s="1"/>
  <c r="J86" i="1"/>
  <c r="D3" i="4" s="1"/>
  <c r="O44" i="2"/>
  <c r="H5" i="4" s="1"/>
  <c r="M44" i="2"/>
  <c r="G5" i="4" s="1"/>
  <c r="K44" i="2"/>
  <c r="F5" i="4" s="1"/>
  <c r="I44" i="2"/>
  <c r="G44" i="2"/>
  <c r="D5" i="4" s="1"/>
  <c r="Z86" i="1"/>
  <c r="H3" i="4" s="1"/>
  <c r="V86" i="1"/>
  <c r="G3" i="4" s="1"/>
  <c r="N86" i="1"/>
  <c r="E3" i="4" s="1"/>
  <c r="R86" i="1"/>
  <c r="F3" i="4" s="1"/>
  <c r="I6" i="4" l="1"/>
  <c r="D10" i="4" s="1" a="1"/>
  <c r="D10" i="4" s="1"/>
  <c r="C10" i="4" a="1"/>
  <c r="C10" i="4" s="1"/>
  <c r="G6" i="4"/>
  <c r="F6" i="4"/>
  <c r="E5" i="4"/>
  <c r="E6" i="4" s="1"/>
  <c r="H6" i="4"/>
  <c r="D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<sst xmlns="http://schemas.openxmlformats.org/spreadsheetml/2006/main" count="1316" uniqueCount="172">
  <si>
    <t>Gruppe A</t>
  </si>
  <si>
    <t>-</t>
  </si>
  <si>
    <t>Mexico</t>
  </si>
  <si>
    <t>Sør-Afrika</t>
  </si>
  <si>
    <t>Sør-Korea</t>
  </si>
  <si>
    <t>Tsjekkia</t>
  </si>
  <si>
    <t>Erling</t>
  </si>
  <si>
    <t>Resultat</t>
  </si>
  <si>
    <t>Gruppe B</t>
  </si>
  <si>
    <t>Gruppe C</t>
  </si>
  <si>
    <t>Gruppe D</t>
  </si>
  <si>
    <t>Gruppe E</t>
  </si>
  <si>
    <t>Gruppe F</t>
  </si>
  <si>
    <t>Gruppe G</t>
  </si>
  <si>
    <t>Gruppe H</t>
  </si>
  <si>
    <t>Canada</t>
  </si>
  <si>
    <t>Bosnia-Hercegovina</t>
  </si>
  <si>
    <t>Qatar</t>
  </si>
  <si>
    <t>Sveits</t>
  </si>
  <si>
    <t>Brasil</t>
  </si>
  <si>
    <t>Marokko</t>
  </si>
  <si>
    <t>Haiti</t>
  </si>
  <si>
    <t>Skottland</t>
  </si>
  <si>
    <t>USA</t>
  </si>
  <si>
    <t>Paraguay</t>
  </si>
  <si>
    <t>Australia</t>
  </si>
  <si>
    <t>Tyrkia</t>
  </si>
  <si>
    <t>Tyskland</t>
  </si>
  <si>
    <t>Curaçao</t>
  </si>
  <si>
    <t>Elfenbenskysten</t>
  </si>
  <si>
    <t>Ecuador</t>
  </si>
  <si>
    <t>Nederland</t>
  </si>
  <si>
    <t>Japan</t>
  </si>
  <si>
    <t>Sverige</t>
  </si>
  <si>
    <t>Tunisia</t>
  </si>
  <si>
    <t>Belgia</t>
  </si>
  <si>
    <t>Egypt</t>
  </si>
  <si>
    <t>Iran</t>
  </si>
  <si>
    <t>New Zealand</t>
  </si>
  <si>
    <t>Spania</t>
  </si>
  <si>
    <t>Kapp Verde</t>
  </si>
  <si>
    <t>Saudi-Arabia</t>
  </si>
  <si>
    <t>Uruguay</t>
  </si>
  <si>
    <t>Gruppe I</t>
  </si>
  <si>
    <t>Frankrike</t>
  </si>
  <si>
    <t>Senegal</t>
  </si>
  <si>
    <t>Irak</t>
  </si>
  <si>
    <t>Norge</t>
  </si>
  <si>
    <t>Gruppe J</t>
  </si>
  <si>
    <t>Argentina</t>
  </si>
  <si>
    <t>Algerie</t>
  </si>
  <si>
    <t>Østerrike</t>
  </si>
  <si>
    <t>Jordan</t>
  </si>
  <si>
    <t>Gruppe K</t>
  </si>
  <si>
    <t>Portugal</t>
  </si>
  <si>
    <t>DR Kongo</t>
  </si>
  <si>
    <t>Usbekistan</t>
  </si>
  <si>
    <t>Colombia</t>
  </si>
  <si>
    <t>Gruppe L</t>
  </si>
  <si>
    <t>England</t>
  </si>
  <si>
    <t>Kroatia</t>
  </si>
  <si>
    <t>Ghana</t>
  </si>
  <si>
    <t>Panama</t>
  </si>
  <si>
    <t>21:00</t>
  </si>
  <si>
    <t>04:00</t>
  </si>
  <si>
    <t>18:00</t>
  </si>
  <si>
    <t>03:00</t>
  </si>
  <si>
    <t>00:00</t>
  </si>
  <si>
    <t>02:30</t>
  </si>
  <si>
    <t>06:00</t>
  </si>
  <si>
    <t>05:00</t>
  </si>
  <si>
    <t>19:00</t>
  </si>
  <si>
    <t>01:00</t>
  </si>
  <si>
    <t>22:00</t>
  </si>
  <si>
    <t>02:00</t>
  </si>
  <si>
    <t>23:00</t>
  </si>
  <si>
    <t>01:30</t>
  </si>
  <si>
    <t>Dato</t>
  </si>
  <si>
    <t>Kl.</t>
  </si>
  <si>
    <t>Krydderspørsmål</t>
  </si>
  <si>
    <t>5p</t>
  </si>
  <si>
    <t>3p</t>
  </si>
  <si>
    <t>2p</t>
  </si>
  <si>
    <t>4p</t>
  </si>
  <si>
    <t>1p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</si>
  <si>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</si>
  <si>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</si>
  <si>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</si>
  <si>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</si>
  <si>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</si>
  <si>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</si>
  <si>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</si>
  <si>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</si>
  <si>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</si>
  <si>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</si>
  <si>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</si>
  <si>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</si>
  <si>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</si>
  <si>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</si>
  <si>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</si>
  <si>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</si>
  <si>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Hvem vinner VM?</t>
  </si>
  <si>
    <t>Hvem vinner Gullstøvelen (toppscorer)?</t>
  </si>
  <si>
    <t>Hvem vinner Gullballen (beste spiller)?</t>
  </si>
  <si>
    <r>
      <t xml:space="preserve">Hvem vinner </t>
    </r>
    <r>
      <rPr>
        <b/>
        <i/>
        <sz val="11"/>
        <color theme="1"/>
        <rFont val="Aptos Narrow"/>
        <family val="2"/>
        <scheme val="minor"/>
      </rPr>
      <t>FIFA Young player of the Tournament?</t>
    </r>
  </si>
  <si>
    <t>Hvor mange mål scores det totalt i VM?</t>
  </si>
  <si>
    <r>
      <t>Hvilket tidspunkt scores det raskeste målet? (</t>
    </r>
    <r>
      <rPr>
        <b/>
        <sz val="11"/>
        <color theme="1"/>
        <rFont val="Aptos Narrow"/>
        <family val="2"/>
      </rPr>
      <t>±15 sek.)</t>
    </r>
  </si>
  <si>
    <t>Nevn to lag som får rødt kort i løpet av VM.</t>
  </si>
  <si>
    <t>I hvilken gruppe scores det flest mål?</t>
  </si>
  <si>
    <t>Hvilket lag blir VMs dårligste?</t>
  </si>
  <si>
    <t>Hvem dømmer finalen?</t>
  </si>
  <si>
    <t>Hvilken øynasjon kommer lengst?</t>
  </si>
  <si>
    <t>Hvem scorer flest mål av Cristiano Ronaldo og Lionel Messi?</t>
  </si>
  <si>
    <t>Hvilket afrikanske land kommer lengst?</t>
  </si>
  <si>
    <t>Nevn en kjendis som dør i løpet av VM.</t>
  </si>
  <si>
    <t>Får alle tre Bodø/Glimt-spillerne spilletid i løpet av VM?</t>
  </si>
  <si>
    <t>Mbappe</t>
  </si>
  <si>
    <t>Yamal</t>
  </si>
  <si>
    <t>Sekstendelsfinaler</t>
  </si>
  <si>
    <t>Åttendelsfinaler</t>
  </si>
  <si>
    <t>Kvartfinaler</t>
  </si>
  <si>
    <t>Semifinaler</t>
  </si>
  <si>
    <t>Bronsefinale</t>
  </si>
  <si>
    <t>Finale</t>
  </si>
  <si>
    <t>Kategori</t>
  </si>
  <si>
    <t>Gruppespill</t>
  </si>
  <si>
    <t>Totalt</t>
  </si>
  <si>
    <t>Poeng gruppespill</t>
  </si>
  <si>
    <t>Utslagsrunder</t>
  </si>
  <si>
    <t>Fasit</t>
  </si>
  <si>
    <t>Poeng utslagsrunder</t>
  </si>
  <si>
    <t>Krydderspørsmål sekstendelsfinaler</t>
  </si>
  <si>
    <t>Krydderspørsmål åttendelsfinaler</t>
  </si>
  <si>
    <t>Krydderspørsmål kvartfinaler</t>
  </si>
  <si>
    <t>Krydderspørsmål semifinaler</t>
  </si>
  <si>
    <t>Krydderspørsmål finaler</t>
  </si>
  <si>
    <t>Poeng krydderspørsmål</t>
  </si>
  <si>
    <t>Håkon</t>
  </si>
  <si>
    <t>Tore</t>
  </si>
  <si>
    <t>Rune</t>
  </si>
  <si>
    <t>Geir</t>
  </si>
  <si>
    <t>Nevn to lag som scorer selvmål i løpet av VM.</t>
  </si>
  <si>
    <t>Curacao</t>
  </si>
  <si>
    <t>Schärer</t>
  </si>
  <si>
    <t>Messi</t>
  </si>
  <si>
    <t>Prinsesse Astrid</t>
  </si>
  <si>
    <t>Ja</t>
  </si>
  <si>
    <t>Hvor langt kommer Norge</t>
  </si>
  <si>
    <t>Marciniak</t>
  </si>
  <si>
    <t>Pave Frans</t>
  </si>
  <si>
    <t>Kane</t>
  </si>
  <si>
    <t>E</t>
  </si>
  <si>
    <t>Thorbjørn Jagland</t>
  </si>
  <si>
    <t>Nei</t>
  </si>
  <si>
    <t>Semifinale</t>
  </si>
  <si>
    <t>Haaland</t>
  </si>
  <si>
    <t>Bellingham</t>
  </si>
  <si>
    <t>Nyberg</t>
  </si>
  <si>
    <t>Clint Eastwood</t>
  </si>
  <si>
    <t>Kvartfinale</t>
  </si>
  <si>
    <t>17.</t>
  </si>
  <si>
    <t>Åttendelsfinale</t>
  </si>
  <si>
    <t>Navn</t>
  </si>
  <si>
    <t>Poeng</t>
  </si>
  <si>
    <t>Antall mål scoret så langt</t>
  </si>
  <si>
    <t>Estimert antall mål i VM</t>
  </si>
  <si>
    <t>Nr.</t>
  </si>
  <si>
    <t>Tor Arne</t>
  </si>
  <si>
    <t>Harry Kane</t>
  </si>
  <si>
    <t>Antonio Nusa</t>
  </si>
  <si>
    <t>Khalid Al-Turais</t>
  </si>
  <si>
    <t>Arne Scheie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</si>
</sst>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7" tint="0.59999389629810485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theme="0"/>
      <name val="Aptos Narrow"/>
      <family val="2"/>
      <scheme val="minor"/>
    </font>
    <font>
      <b/>
      <sz val="11"/>
      <color rgb="FF0033CC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8223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3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64" fontId="0" fillId="2" borderId="11" xfId="0" applyNumberFormat="1" applyFill="1" applyBorder="1" applyAlignment="1">
      <alignment horizontal="left"/>
    </xf>
    <xf numFmtId="164" fontId="0" fillId="2" borderId="12" xfId="0" applyNumberForma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4" xfId="0" applyFill="1" applyBorder="1"/>
    <xf numFmtId="0" fontId="0" fillId="2" borderId="2" xfId="0" applyFill="1" applyBorder="1"/>
    <xf numFmtId="0" fontId="0" fillId="2" borderId="4" xfId="0" applyFill="1" applyBorder="1"/>
    <xf numFmtId="0" fontId="1" fillId="2" borderId="1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45" fontId="0" fillId="2" borderId="2" xfId="0" applyNumberForma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164" fontId="0" fillId="2" borderId="10" xfId="0" applyNumberFormat="1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4" xfId="0" applyFill="1" applyBorder="1" applyAlignment="1">
      <alignment horizontal="right"/>
    </xf>
    <xf numFmtId="0" fontId="0" fillId="2" borderId="15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20" fontId="0" fillId="2" borderId="11" xfId="0" applyNumberFormat="1" applyFill="1" applyBorder="1" applyAlignment="1">
      <alignment horizontal="left"/>
    </xf>
    <xf numFmtId="20" fontId="0" fillId="2" borderId="12" xfId="0" applyNumberFormat="1" applyFill="1" applyBorder="1" applyAlignment="1">
      <alignment horizontal="left"/>
    </xf>
    <xf numFmtId="20" fontId="0" fillId="2" borderId="1" xfId="0" applyNumberFormat="1" applyFill="1" applyBorder="1" applyAlignment="1">
      <alignment horizontal="left"/>
    </xf>
    <xf numFmtId="20" fontId="0" fillId="2" borderId="3" xfId="0" applyNumberFormat="1" applyFill="1" applyBorder="1" applyAlignment="1">
      <alignment horizontal="left"/>
    </xf>
    <xf numFmtId="0" fontId="2" fillId="3" borderId="7" xfId="0" applyFont="1" applyFill="1" applyBorder="1"/>
    <xf numFmtId="0" fontId="2" fillId="3" borderId="9" xfId="0" applyFont="1" applyFill="1" applyBorder="1"/>
    <xf numFmtId="0" fontId="2" fillId="3" borderId="8" xfId="0" applyFont="1" applyFill="1" applyBorder="1"/>
    <xf numFmtId="0" fontId="1" fillId="2" borderId="14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0" fillId="2" borderId="2" xfId="0" quotePrefix="1" applyFill="1" applyBorder="1" applyAlignment="1">
      <alignment horizontal="left"/>
    </xf>
    <xf numFmtId="0" fontId="6" fillId="4" borderId="7" xfId="0" applyFont="1" applyFill="1" applyBorder="1"/>
    <xf numFmtId="0" fontId="6" fillId="4" borderId="8" xfId="0" applyFont="1" applyFill="1" applyBorder="1"/>
    <xf numFmtId="0" fontId="6" fillId="4" borderId="9" xfId="0" applyFont="1" applyFill="1" applyBorder="1"/>
    <xf numFmtId="0" fontId="8" fillId="5" borderId="7" xfId="0" applyFont="1" applyFill="1" applyBorder="1"/>
    <xf numFmtId="0" fontId="8" fillId="5" borderId="8" xfId="0" applyFont="1" applyFill="1" applyBorder="1"/>
    <xf numFmtId="0" fontId="8" fillId="5" borderId="9" xfId="0" applyFont="1" applyFill="1" applyBorder="1"/>
    <xf numFmtId="0" fontId="0" fillId="6" borderId="0" xfId="0" applyFill="1"/>
    <xf numFmtId="164" fontId="0" fillId="6" borderId="0" xfId="0" applyNumberFormat="1" applyFill="1"/>
    <xf numFmtId="0" fontId="0" fillId="6" borderId="0" xfId="0" applyFill="1" applyAlignment="1">
      <alignment horizontal="center"/>
    </xf>
    <xf numFmtId="0" fontId="2" fillId="7" borderId="7" xfId="0" applyFont="1" applyFill="1" applyBorder="1"/>
    <xf numFmtId="0" fontId="2" fillId="7" borderId="8" xfId="0" applyFont="1" applyFill="1" applyBorder="1"/>
    <xf numFmtId="0" fontId="2" fillId="7" borderId="9" xfId="0" applyFont="1" applyFill="1" applyBorder="1"/>
    <xf numFmtId="0" fontId="9" fillId="2" borderId="7" xfId="0" applyFont="1" applyFill="1" applyBorder="1"/>
    <xf numFmtId="0" fontId="9" fillId="2" borderId="8" xfId="0" applyFont="1" applyFill="1" applyBorder="1"/>
    <xf numFmtId="0" fontId="9" fillId="2" borderId="9" xfId="0" applyFont="1" applyFill="1" applyBorder="1"/>
    <xf numFmtId="0" fontId="2" fillId="3" borderId="10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6" fillId="7" borderId="13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" fontId="1" fillId="2" borderId="12" xfId="0" applyNumberFormat="1" applyFont="1" applyFill="1" applyBorder="1" applyAlignment="1">
      <alignment horizontal="center"/>
    </xf>
    <xf numFmtId="164" fontId="1" fillId="8" borderId="13" xfId="0" applyNumberFormat="1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8" borderId="7" xfId="0" applyFont="1" applyFill="1" applyBorder="1"/>
    <xf numFmtId="0" fontId="1" fillId="8" borderId="8" xfId="0" applyFont="1" applyFill="1" applyBorder="1"/>
    <xf numFmtId="0" fontId="1" fillId="8" borderId="9" xfId="0" applyFont="1" applyFill="1" applyBorder="1"/>
    <xf numFmtId="164" fontId="1" fillId="8" borderId="10" xfId="0" applyNumberFormat="1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left"/>
    </xf>
    <xf numFmtId="0" fontId="1" fillId="8" borderId="12" xfId="0" applyFont="1" applyFill="1" applyBorder="1" applyAlignment="1">
      <alignment horizontal="left"/>
    </xf>
    <xf numFmtId="0" fontId="1" fillId="8" borderId="13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2" fillId="9" borderId="7" xfId="0" applyFont="1" applyFill="1" applyBorder="1"/>
    <xf numFmtId="0" fontId="2" fillId="9" borderId="8" xfId="0" applyFont="1" applyFill="1" applyBorder="1"/>
    <xf numFmtId="0" fontId="2" fillId="9" borderId="9" xfId="0" applyFont="1" applyFill="1" applyBorder="1"/>
    <xf numFmtId="0" fontId="8" fillId="9" borderId="8" xfId="0" applyFont="1" applyFill="1" applyBorder="1"/>
    <xf numFmtId="0" fontId="8" fillId="9" borderId="7" xfId="0" applyFont="1" applyFill="1" applyBorder="1"/>
    <xf numFmtId="0" fontId="8" fillId="9" borderId="10" xfId="0" applyFont="1" applyFill="1" applyBorder="1" applyAlignment="1">
      <alignment horizontal="center"/>
    </xf>
    <xf numFmtId="0" fontId="8" fillId="9" borderId="13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1" fillId="8" borderId="7" xfId="0" applyFont="1" applyFill="1" applyBorder="1" applyAlignment="1">
      <alignment horizontal="left"/>
    </xf>
    <xf numFmtId="0" fontId="1" fillId="8" borderId="9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8" fillId="9" borderId="7" xfId="0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164" fontId="1" fillId="8" borderId="7" xfId="0" applyNumberFormat="1" applyFont="1" applyFill="1" applyBorder="1" applyAlignment="1">
      <alignment horizontal="center"/>
    </xf>
    <xf numFmtId="164" fontId="1" fillId="8" borderId="8" xfId="0" applyNumberFormat="1" applyFont="1" applyFill="1" applyBorder="1" applyAlignment="1">
      <alignment horizontal="center"/>
    </xf>
    <xf numFmtId="164" fontId="1" fillId="8" borderId="9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21" fontId="1" fillId="2" borderId="2" xfId="0" applyNumberFormat="1" applyFont="1" applyFill="1" applyBorder="1" applyAlignment="1">
      <alignment horizontal="left"/>
    </xf>
    <xf numFmtId="0" fontId="1" fillId="5" borderId="7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</cellXfs>
  <cellStyles count="1">
    <cellStyle name="Normal" xfId="0" builtinId="0"/>
  </cellStyles>
  <dxfs count="60"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33CC"/>
      <color rgb="FF9A0000"/>
      <color rgb="FF4A77D2"/>
      <color rgb="FF3366CC"/>
      <color rgb="FF78223B"/>
      <color rgb="FFF4EE00"/>
      <color rgb="FFD00202"/>
      <color rgb="FFFF3300"/>
      <color rgb="FFFE8C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E5F76-7D89-4DB9-881E-721C49B5536A}">
  <dimension ref="B1:AG121"/>
  <sheetViews>
    <sheetView topLeftCell="A18" zoomScaleNormal="100" workbookViewId="0">
      <selection activeCell="AD3" sqref="AD3:AF85"/>
    </sheetView>
  </sheetViews>
  <sheetFormatPr defaultColWidth="11.42578125" defaultRowHeight="15" x14ac:dyDescent="0.25"/>
  <cols>
    <col min="1" max="1" width="4" style="47" customWidth="1"/>
    <col min="2" max="2" width="7.140625" style="48" bestFit="1" customWidth="1"/>
    <col min="3" max="3" width="5.5703125" style="47" bestFit="1" customWidth="1"/>
    <col min="4" max="4" width="18.85546875" style="47" bestFit="1" customWidth="1"/>
    <col min="5" max="5" width="1.7109375" style="49" bestFit="1" customWidth="1"/>
    <col min="6" max="6" width="18.85546875" style="47" bestFit="1" customWidth="1"/>
    <col min="7" max="7" width="3.5703125" style="47" customWidth="1"/>
    <col min="8" max="8" width="1.42578125" style="47" customWidth="1"/>
    <col min="9" max="9" width="3.5703125" style="47" customWidth="1"/>
    <col min="10" max="10" width="3.140625" style="47" customWidth="1"/>
    <col min="11" max="11" width="1.42578125" style="47" customWidth="1"/>
    <col min="12" max="12" width="3.140625" style="47" customWidth="1"/>
    <col min="13" max="13" width="2.85546875" style="47" customWidth="1"/>
    <col min="14" max="14" width="3.140625" style="47" customWidth="1"/>
    <col min="15" max="15" width="1.42578125" style="47" customWidth="1"/>
    <col min="16" max="16" width="3.140625" style="47" customWidth="1"/>
    <col min="17" max="17" width="2.85546875" style="47" customWidth="1"/>
    <col min="18" max="18" width="3.140625" style="47" customWidth="1"/>
    <col min="19" max="19" width="1.42578125" style="47" customWidth="1"/>
    <col min="20" max="20" width="3.140625" style="47" customWidth="1"/>
    <col min="21" max="21" width="2.85546875" style="47" customWidth="1"/>
    <col min="22" max="22" width="3.140625" style="47" customWidth="1"/>
    <col min="23" max="23" width="1.42578125" style="47" customWidth="1"/>
    <col min="24" max="24" width="3.140625" style="47" customWidth="1"/>
    <col min="25" max="25" width="2.85546875" style="47" customWidth="1"/>
    <col min="26" max="26" width="3.140625" style="47" customWidth="1"/>
    <col min="27" max="27" width="1.42578125" style="47" customWidth="1"/>
    <col min="28" max="28" width="3.140625" style="47" customWidth="1"/>
    <col min="29" max="29" width="2.85546875" style="47" customWidth="1"/>
    <col min="30" max="30" width="3.140625" style="47" customWidth="1"/>
    <col min="31" max="31" width="1.42578125" style="47" customWidth="1"/>
    <col min="32" max="32" width="3.140625" style="47" customWidth="1"/>
    <col min="33" max="33" width="2.85546875" style="47" customWidth="1"/>
    <col min="34" max="16384" width="11.42578125" style="47"/>
  </cols>
  <sheetData>
    <row r="1" spans="2:33" ht="15.75" thickBot="1" x14ac:dyDescent="0.3"/>
    <row r="2" spans="2:33" ht="15.75" thickBot="1" x14ac:dyDescent="0.3">
      <c r="B2" s="70" t="s">
        <v>77</v>
      </c>
      <c r="C2" s="71" t="s">
        <v>78</v>
      </c>
      <c r="D2" s="102" t="s">
        <v>0</v>
      </c>
      <c r="E2" s="103"/>
      <c r="F2" s="104"/>
      <c r="G2" s="72" t="s">
        <v>7</v>
      </c>
      <c r="H2" s="73"/>
      <c r="I2" s="74"/>
      <c r="J2" s="108" t="s">
        <v>6</v>
      </c>
      <c r="K2" s="109"/>
      <c r="L2" s="109"/>
      <c r="M2" s="110"/>
      <c r="N2" s="111" t="s">
        <v>139</v>
      </c>
      <c r="O2" s="112"/>
      <c r="P2" s="112"/>
      <c r="Q2" s="113"/>
      <c r="R2" s="117" t="s">
        <v>137</v>
      </c>
      <c r="S2" s="118"/>
      <c r="T2" s="118"/>
      <c r="U2" s="119"/>
      <c r="V2" s="120" t="s">
        <v>140</v>
      </c>
      <c r="W2" s="121"/>
      <c r="X2" s="121"/>
      <c r="Y2" s="122"/>
      <c r="Z2" s="114" t="s">
        <v>138</v>
      </c>
      <c r="AA2" s="115"/>
      <c r="AB2" s="115"/>
      <c r="AC2" s="116"/>
      <c r="AD2" s="99" t="s">
        <v>167</v>
      </c>
      <c r="AE2" s="100"/>
      <c r="AF2" s="100"/>
      <c r="AG2" s="101"/>
    </row>
    <row r="3" spans="2:33" x14ac:dyDescent="0.25">
      <c r="B3" s="12">
        <v>46184</v>
      </c>
      <c r="C3" s="7" t="s">
        <v>63</v>
      </c>
      <c r="D3" s="3" t="s">
        <v>2</v>
      </c>
      <c r="E3" s="1" t="s">
        <v>1</v>
      </c>
      <c r="F3" s="5" t="s">
        <v>3</v>
      </c>
      <c r="G3" s="3"/>
      <c r="H3" s="1" t="s">
        <v>1</v>
      </c>
      <c r="I3" s="5"/>
      <c r="J3" s="3">
        <v>2</v>
      </c>
      <c r="K3" s="1" t="s">
        <v>1</v>
      </c>
      <c r="L3" s="7">
        <v>0</v>
      </c>
      <c r="M3" s="11" t="str">
        <f>IF(ISBLANK($I3)=TRUE,"",IF(SIGN(J3-L3)=SIGN($G3-$I3),1,0)+IF(J3=$G3,IF(L3=$I3,2,0),0))</f>
        <v/>
      </c>
      <c r="N3" s="3">
        <v>2</v>
      </c>
      <c r="O3" s="1" t="s">
        <v>1</v>
      </c>
      <c r="P3" s="7">
        <v>0</v>
      </c>
      <c r="Q3" s="11" t="str">
        <f>IF(ISBLANK($I3)=TRUE,"",IF(SIGN(N3-P3)=SIGN($G3-$I3),1,0)+IF(N3=$G3,IF(P3=$I3,2,0),0))</f>
        <v/>
      </c>
      <c r="R3" s="3">
        <v>2</v>
      </c>
      <c r="S3" s="1" t="s">
        <v>1</v>
      </c>
      <c r="T3" s="7">
        <v>0</v>
      </c>
      <c r="U3" s="11" t="str">
        <f>IF(ISBLANK($I3)=TRUE,"",IF(SIGN(R3-T3)=SIGN($G3-$I3),1,0)+IF(R3=$G3,IF(T3=$I3,2,0),0))</f>
        <v/>
      </c>
      <c r="V3" s="3"/>
      <c r="W3" s="1" t="s">
        <v>1</v>
      </c>
      <c r="X3" s="7"/>
      <c r="Y3" s="11" t="str">
        <f>IF(ISBLANK($I3)=TRUE,"",IF(SIGN(V3-X3)=SIGN($G3-$I3),1,0)+IF(V3=$G3,IF(X3=$I3,2,0),0))</f>
        <v/>
      </c>
      <c r="Z3" s="3">
        <v>2</v>
      </c>
      <c r="AA3" s="1" t="s">
        <v>1</v>
      </c>
      <c r="AB3" s="7">
        <v>1</v>
      </c>
      <c r="AC3" s="11" t="str">
        <f>IF(ISBLANK($I3)=TRUE,"",IF(SIGN(Z3-AB3)=SIGN($G3-$I3),1,0)+IF(Z3=$G3,IF(AB3=$I3,2,0),0))</f>
        <v/>
      </c>
      <c r="AD3" s="3">
        <v>3</v>
      </c>
      <c r="AE3" s="1" t="s">
        <v>1</v>
      </c>
      <c r="AF3" s="7">
        <v>1</v>
      </c>
      <c r="AG3" s="11" t="str">
        <f>IF(ISBLANK($I3)=TRUE,"",IF(SIGN(AD3-AF3)=SIGN($G3-$I3),1,0)+IF(AD3=$G3,IF(AF3=$I3,2,0),0))</f>
        <v/>
      </c>
    </row>
    <row r="4" spans="2:33" x14ac:dyDescent="0.25">
      <c r="B4" s="12">
        <v>46185</v>
      </c>
      <c r="C4" s="7" t="s">
        <v>64</v>
      </c>
      <c r="D4" s="3" t="s">
        <v>4</v>
      </c>
      <c r="E4" s="1" t="s">
        <v>1</v>
      </c>
      <c r="F4" s="5" t="s">
        <v>5</v>
      </c>
      <c r="G4" s="3"/>
      <c r="H4" s="1" t="s">
        <v>1</v>
      </c>
      <c r="I4" s="5"/>
      <c r="J4" s="3">
        <v>1</v>
      </c>
      <c r="K4" s="1" t="s">
        <v>1</v>
      </c>
      <c r="L4" s="7">
        <v>1</v>
      </c>
      <c r="M4" s="9" t="str">
        <f t="shared" ref="M4:M8" si="0">IF(ISBLANK($G4)=TRUE,"",IF(SIGN(J4-L4)=SIGN($G4-$I4),1,0)+IF(J4=$G4,IF(L4=$I4,2,0),0))</f>
        <v/>
      </c>
      <c r="N4" s="3">
        <v>2</v>
      </c>
      <c r="O4" s="1" t="s">
        <v>1</v>
      </c>
      <c r="P4" s="7">
        <v>1</v>
      </c>
      <c r="Q4" s="9" t="str">
        <f t="shared" ref="Q4:Q8" si="1">IF(ISBLANK($G4)=TRUE,"",IF(SIGN(N4-P4)=SIGN($G4-$I4),1,0)+IF(N4=$G4,IF(P4=$I4,2,0),0))</f>
        <v/>
      </c>
      <c r="R4" s="3">
        <v>2</v>
      </c>
      <c r="S4" s="1" t="s">
        <v>1</v>
      </c>
      <c r="T4" s="7">
        <v>1</v>
      </c>
      <c r="U4" s="9" t="str">
        <f t="shared" ref="U4:U8" si="2">IF(ISBLANK($G4)=TRUE,"",IF(SIGN(R4-T4)=SIGN($G4-$I4),1,0)+IF(R4=$G4,IF(T4=$I4,2,0),0))</f>
        <v/>
      </c>
      <c r="V4" s="3"/>
      <c r="W4" s="1" t="s">
        <v>1</v>
      </c>
      <c r="X4" s="7"/>
      <c r="Y4" s="9" t="str">
        <f t="shared" ref="Y4:Y8" si="3">IF(ISBLANK($G4)=TRUE,"",IF(SIGN(V4-X4)=SIGN($G4-$I4),1,0)+IF(V4=$G4,IF(X4=$I4,2,0),0))</f>
        <v/>
      </c>
      <c r="Z4" s="3">
        <v>1</v>
      </c>
      <c r="AA4" s="1" t="s">
        <v>1</v>
      </c>
      <c r="AB4" s="7">
        <v>1</v>
      </c>
      <c r="AC4" s="9" t="str">
        <f t="shared" ref="AC4:AC8" si="4">IF(ISBLANK($G4)=TRUE,"",IF(SIGN(Z4-AB4)=SIGN($G4-$I4),1,0)+IF(Z4=$G4,IF(AB4=$I4,2,0),0))</f>
        <v/>
      </c>
      <c r="AD4" s="3">
        <v>1</v>
      </c>
      <c r="AE4" s="1" t="s">
        <v>1</v>
      </c>
      <c r="AF4" s="7">
        <v>1</v>
      </c>
      <c r="AG4" s="9" t="str">
        <f t="shared" ref="AG4:AG8" si="5">IF(ISBLANK($G4)=TRUE,"",IF(SIGN(AD4-AF4)=SIGN($G4-$I4),1,0)+IF(AD4=$G4,IF(AF4=$I4,2,0),0))</f>
        <v/>
      </c>
    </row>
    <row r="5" spans="2:33" x14ac:dyDescent="0.25">
      <c r="B5" s="12">
        <v>46191</v>
      </c>
      <c r="C5" s="7" t="s">
        <v>65</v>
      </c>
      <c r="D5" s="3" t="s">
        <v>5</v>
      </c>
      <c r="E5" s="1" t="s">
        <v>1</v>
      </c>
      <c r="F5" s="5" t="s">
        <v>3</v>
      </c>
      <c r="G5" s="3"/>
      <c r="H5" s="1" t="s">
        <v>1</v>
      </c>
      <c r="I5" s="5"/>
      <c r="J5" s="3">
        <v>2</v>
      </c>
      <c r="K5" s="1" t="s">
        <v>1</v>
      </c>
      <c r="L5" s="7">
        <v>0</v>
      </c>
      <c r="M5" s="9" t="str">
        <f t="shared" si="0"/>
        <v/>
      </c>
      <c r="N5" s="3">
        <v>1</v>
      </c>
      <c r="O5" s="1" t="s">
        <v>1</v>
      </c>
      <c r="P5" s="7">
        <v>0</v>
      </c>
      <c r="Q5" s="9" t="str">
        <f t="shared" si="1"/>
        <v/>
      </c>
      <c r="R5" s="3">
        <v>1</v>
      </c>
      <c r="S5" s="1" t="s">
        <v>1</v>
      </c>
      <c r="T5" s="7">
        <v>1</v>
      </c>
      <c r="U5" s="9" t="str">
        <f t="shared" si="2"/>
        <v/>
      </c>
      <c r="V5" s="3"/>
      <c r="W5" s="1" t="s">
        <v>1</v>
      </c>
      <c r="X5" s="7"/>
      <c r="Y5" s="9" t="str">
        <f t="shared" si="3"/>
        <v/>
      </c>
      <c r="Z5" s="3">
        <v>1</v>
      </c>
      <c r="AA5" s="1" t="s">
        <v>1</v>
      </c>
      <c r="AB5" s="7">
        <v>3</v>
      </c>
      <c r="AC5" s="9" t="str">
        <f t="shared" si="4"/>
        <v/>
      </c>
      <c r="AD5" s="3">
        <v>1</v>
      </c>
      <c r="AE5" s="1" t="s">
        <v>1</v>
      </c>
      <c r="AF5" s="7">
        <v>0</v>
      </c>
      <c r="AG5" s="9" t="str">
        <f t="shared" si="5"/>
        <v/>
      </c>
    </row>
    <row r="6" spans="2:33" x14ac:dyDescent="0.25">
      <c r="B6" s="12">
        <v>46192</v>
      </c>
      <c r="C6" s="7" t="s">
        <v>66</v>
      </c>
      <c r="D6" s="3" t="s">
        <v>2</v>
      </c>
      <c r="E6" s="1" t="s">
        <v>1</v>
      </c>
      <c r="F6" s="5" t="s">
        <v>4</v>
      </c>
      <c r="G6" s="3"/>
      <c r="H6" s="1" t="s">
        <v>1</v>
      </c>
      <c r="I6" s="5"/>
      <c r="J6" s="3">
        <v>1</v>
      </c>
      <c r="K6" s="1" t="s">
        <v>1</v>
      </c>
      <c r="L6" s="7">
        <v>0</v>
      </c>
      <c r="M6" s="9" t="str">
        <f t="shared" si="0"/>
        <v/>
      </c>
      <c r="N6" s="3">
        <v>2</v>
      </c>
      <c r="O6" s="1" t="s">
        <v>1</v>
      </c>
      <c r="P6" s="7">
        <v>1</v>
      </c>
      <c r="Q6" s="9" t="str">
        <f t="shared" si="1"/>
        <v/>
      </c>
      <c r="R6" s="3">
        <v>2</v>
      </c>
      <c r="S6" s="1" t="s">
        <v>1</v>
      </c>
      <c r="T6" s="7">
        <v>1</v>
      </c>
      <c r="U6" s="9" t="str">
        <f t="shared" si="2"/>
        <v/>
      </c>
      <c r="V6" s="3"/>
      <c r="W6" s="1" t="s">
        <v>1</v>
      </c>
      <c r="X6" s="7"/>
      <c r="Y6" s="9" t="str">
        <f t="shared" si="3"/>
        <v/>
      </c>
      <c r="Z6" s="3">
        <v>2</v>
      </c>
      <c r="AA6" s="1" t="s">
        <v>1</v>
      </c>
      <c r="AB6" s="7">
        <v>0</v>
      </c>
      <c r="AC6" s="9" t="str">
        <f t="shared" si="4"/>
        <v/>
      </c>
      <c r="AD6" s="3">
        <v>2</v>
      </c>
      <c r="AE6" s="1" t="s">
        <v>1</v>
      </c>
      <c r="AF6" s="7">
        <v>0</v>
      </c>
      <c r="AG6" s="9" t="str">
        <f t="shared" si="5"/>
        <v/>
      </c>
    </row>
    <row r="7" spans="2:33" x14ac:dyDescent="0.25">
      <c r="B7" s="12">
        <v>46198</v>
      </c>
      <c r="C7" s="7" t="s">
        <v>66</v>
      </c>
      <c r="D7" s="3" t="s">
        <v>5</v>
      </c>
      <c r="E7" s="1" t="s">
        <v>1</v>
      </c>
      <c r="F7" s="5" t="s">
        <v>2</v>
      </c>
      <c r="G7" s="3"/>
      <c r="H7" s="1" t="s">
        <v>1</v>
      </c>
      <c r="I7" s="5"/>
      <c r="J7" s="3">
        <v>1</v>
      </c>
      <c r="K7" s="1" t="s">
        <v>1</v>
      </c>
      <c r="L7" s="7">
        <v>2</v>
      </c>
      <c r="M7" s="9" t="str">
        <f t="shared" si="0"/>
        <v/>
      </c>
      <c r="N7" s="3">
        <v>1</v>
      </c>
      <c r="O7" s="1" t="s">
        <v>1</v>
      </c>
      <c r="P7" s="7">
        <v>2</v>
      </c>
      <c r="Q7" s="9" t="str">
        <f t="shared" si="1"/>
        <v/>
      </c>
      <c r="R7" s="3">
        <v>0</v>
      </c>
      <c r="S7" s="1" t="s">
        <v>1</v>
      </c>
      <c r="T7" s="7">
        <v>3</v>
      </c>
      <c r="U7" s="9" t="str">
        <f t="shared" si="2"/>
        <v/>
      </c>
      <c r="V7" s="3"/>
      <c r="W7" s="1" t="s">
        <v>1</v>
      </c>
      <c r="X7" s="7"/>
      <c r="Y7" s="9" t="str">
        <f t="shared" si="3"/>
        <v/>
      </c>
      <c r="Z7" s="3">
        <v>0</v>
      </c>
      <c r="AA7" s="1" t="s">
        <v>1</v>
      </c>
      <c r="AB7" s="7">
        <v>2</v>
      </c>
      <c r="AC7" s="9" t="str">
        <f t="shared" si="4"/>
        <v/>
      </c>
      <c r="AD7" s="3">
        <v>0</v>
      </c>
      <c r="AE7" s="1" t="s">
        <v>1</v>
      </c>
      <c r="AF7" s="7">
        <v>2</v>
      </c>
      <c r="AG7" s="9" t="str">
        <f t="shared" si="5"/>
        <v/>
      </c>
    </row>
    <row r="8" spans="2:33" ht="15.75" thickBot="1" x14ac:dyDescent="0.3">
      <c r="B8" s="13">
        <v>46198</v>
      </c>
      <c r="C8" s="8" t="s">
        <v>66</v>
      </c>
      <c r="D8" s="4" t="s">
        <v>3</v>
      </c>
      <c r="E8" s="2" t="s">
        <v>1</v>
      </c>
      <c r="F8" s="6" t="s">
        <v>4</v>
      </c>
      <c r="G8" s="4"/>
      <c r="H8" s="2" t="s">
        <v>1</v>
      </c>
      <c r="I8" s="6"/>
      <c r="J8" s="4">
        <v>1</v>
      </c>
      <c r="K8" s="2" t="s">
        <v>1</v>
      </c>
      <c r="L8" s="8">
        <v>2</v>
      </c>
      <c r="M8" s="10" t="str">
        <f t="shared" si="0"/>
        <v/>
      </c>
      <c r="N8" s="4">
        <v>1</v>
      </c>
      <c r="O8" s="2" t="s">
        <v>1</v>
      </c>
      <c r="P8" s="8">
        <v>1</v>
      </c>
      <c r="Q8" s="10" t="str">
        <f t="shared" si="1"/>
        <v/>
      </c>
      <c r="R8" s="4">
        <v>1</v>
      </c>
      <c r="S8" s="2" t="s">
        <v>1</v>
      </c>
      <c r="T8" s="8">
        <v>2</v>
      </c>
      <c r="U8" s="10" t="str">
        <f t="shared" si="2"/>
        <v/>
      </c>
      <c r="V8" s="4"/>
      <c r="W8" s="2" t="s">
        <v>1</v>
      </c>
      <c r="X8" s="8"/>
      <c r="Y8" s="10" t="str">
        <f t="shared" si="3"/>
        <v/>
      </c>
      <c r="Z8" s="4">
        <v>2</v>
      </c>
      <c r="AA8" s="2" t="s">
        <v>1</v>
      </c>
      <c r="AB8" s="8">
        <v>2</v>
      </c>
      <c r="AC8" s="10" t="str">
        <f t="shared" si="4"/>
        <v/>
      </c>
      <c r="AD8" s="4">
        <v>1</v>
      </c>
      <c r="AE8" s="2" t="s">
        <v>1</v>
      </c>
      <c r="AF8" s="8">
        <v>2</v>
      </c>
      <c r="AG8" s="10" t="str">
        <f t="shared" si="5"/>
        <v/>
      </c>
    </row>
    <row r="9" spans="2:33" ht="15.75" thickBot="1" x14ac:dyDescent="0.3">
      <c r="B9" s="70" t="s">
        <v>77</v>
      </c>
      <c r="C9" s="71" t="s">
        <v>78</v>
      </c>
      <c r="D9" s="102" t="s">
        <v>8</v>
      </c>
      <c r="E9" s="103"/>
      <c r="F9" s="104"/>
      <c r="G9" s="72" t="s">
        <v>7</v>
      </c>
      <c r="H9" s="73"/>
      <c r="I9" s="74"/>
      <c r="J9" s="34"/>
      <c r="K9" s="36"/>
      <c r="L9" s="36"/>
      <c r="M9" s="35"/>
      <c r="N9" s="44"/>
      <c r="O9" s="45"/>
      <c r="P9" s="45"/>
      <c r="Q9" s="46"/>
      <c r="R9" s="41"/>
      <c r="S9" s="42"/>
      <c r="T9" s="42"/>
      <c r="U9" s="43"/>
      <c r="V9" s="53"/>
      <c r="W9" s="54"/>
      <c r="X9" s="54"/>
      <c r="Y9" s="55"/>
      <c r="Z9" s="50"/>
      <c r="AA9" s="51"/>
      <c r="AB9" s="51"/>
      <c r="AC9" s="52"/>
      <c r="AD9" s="83"/>
      <c r="AE9" s="84"/>
      <c r="AF9" s="84"/>
      <c r="AG9" s="85"/>
    </row>
    <row r="10" spans="2:33" x14ac:dyDescent="0.25">
      <c r="B10" s="12">
        <v>46185</v>
      </c>
      <c r="C10" s="7" t="s">
        <v>63</v>
      </c>
      <c r="D10" s="3" t="s">
        <v>15</v>
      </c>
      <c r="E10" s="1" t="s">
        <v>1</v>
      </c>
      <c r="F10" s="5" t="s">
        <v>16</v>
      </c>
      <c r="G10" s="3"/>
      <c r="H10" s="1" t="s">
        <v>1</v>
      </c>
      <c r="I10" s="5"/>
      <c r="J10" s="3">
        <v>2</v>
      </c>
      <c r="K10" s="1" t="s">
        <v>1</v>
      </c>
      <c r="L10" s="7">
        <v>1</v>
      </c>
      <c r="M10" s="11" t="str">
        <f>IF(ISBLANK($I10)=TRUE,"",IF(SIGN(J10-L10)=SIGN($G10-$I10),1,0)+IF(J10=$G10,IF(L10=$I10,2,0),0))</f>
        <v/>
      </c>
      <c r="N10" s="3">
        <v>1</v>
      </c>
      <c r="O10" s="1" t="s">
        <v>1</v>
      </c>
      <c r="P10" s="7">
        <v>2</v>
      </c>
      <c r="Q10" s="11" t="str">
        <f>IF(ISBLANK($I10)=TRUE,"",IF(SIGN(N10-P10)=SIGN($G10-$I10),1,0)+IF(N10=$G10,IF(P10=$I10,2,0),0))</f>
        <v/>
      </c>
      <c r="R10" s="3">
        <v>1</v>
      </c>
      <c r="S10" s="1" t="s">
        <v>1</v>
      </c>
      <c r="T10" s="7">
        <v>1</v>
      </c>
      <c r="U10" s="11" t="str">
        <f>IF(ISBLANK($I10)=TRUE,"",IF(SIGN(R10-T10)=SIGN($G10-$I10),1,0)+IF(R10=$G10,IF(T10=$I10,2,0),0))</f>
        <v/>
      </c>
      <c r="V10" s="3"/>
      <c r="W10" s="1" t="s">
        <v>1</v>
      </c>
      <c r="X10" s="7"/>
      <c r="Y10" s="11" t="str">
        <f>IF(ISBLANK($I10)=TRUE,"",IF(SIGN(V10-X10)=SIGN($G10-$I10),1,0)+IF(V10=$G10,IF(X10=$I10,2,0),0))</f>
        <v/>
      </c>
      <c r="Z10" s="3">
        <v>2</v>
      </c>
      <c r="AA10" s="1" t="s">
        <v>1</v>
      </c>
      <c r="AB10" s="7">
        <v>0</v>
      </c>
      <c r="AC10" s="11" t="str">
        <f>IF(ISBLANK($I10)=TRUE,"",IF(SIGN(Z10-AB10)=SIGN($G10-$I10),1,0)+IF(Z10=$G10,IF(AB10=$I10,2,0),0))</f>
        <v/>
      </c>
      <c r="AD10" s="3">
        <v>1</v>
      </c>
      <c r="AE10" s="1" t="s">
        <v>1</v>
      </c>
      <c r="AF10" s="7">
        <v>1</v>
      </c>
      <c r="AG10" s="11" t="str">
        <f>IF(ISBLANK($I10)=TRUE,"",IF(SIGN(AD10-AF10)=SIGN($G10-$I10),1,0)+IF(AD10=$G10,IF(AF10=$I10,2,0),0))</f>
        <v/>
      </c>
    </row>
    <row r="11" spans="2:33" x14ac:dyDescent="0.25">
      <c r="B11" s="12">
        <v>46186</v>
      </c>
      <c r="C11" s="7" t="s">
        <v>63</v>
      </c>
      <c r="D11" s="3" t="s">
        <v>17</v>
      </c>
      <c r="E11" s="1" t="s">
        <v>1</v>
      </c>
      <c r="F11" s="5" t="s">
        <v>18</v>
      </c>
      <c r="G11" s="3"/>
      <c r="H11" s="1" t="s">
        <v>1</v>
      </c>
      <c r="I11" s="5"/>
      <c r="J11" s="3">
        <v>0</v>
      </c>
      <c r="K11" s="1" t="s">
        <v>1</v>
      </c>
      <c r="L11" s="7">
        <v>2</v>
      </c>
      <c r="M11" s="9" t="str">
        <f t="shared" ref="M11:M15" si="6">IF(ISBLANK($G11)=TRUE,"",IF(SIGN(J11-L11)=SIGN($G11-$I11),1,0)+IF(J11=$G11,IF(L11=$I11,2,0),0))</f>
        <v/>
      </c>
      <c r="N11" s="3">
        <v>0</v>
      </c>
      <c r="O11" s="1" t="s">
        <v>1</v>
      </c>
      <c r="P11" s="7">
        <v>2</v>
      </c>
      <c r="Q11" s="9" t="str">
        <f t="shared" ref="Q11:Q15" si="7">IF(ISBLANK($G11)=TRUE,"",IF(SIGN(N11-P11)=SIGN($G11-$I11),1,0)+IF(N11=$G11,IF(P11=$I11,2,0),0))</f>
        <v/>
      </c>
      <c r="R11" s="3">
        <v>0</v>
      </c>
      <c r="S11" s="1" t="s">
        <v>1</v>
      </c>
      <c r="T11" s="7">
        <v>2</v>
      </c>
      <c r="U11" s="9" t="str">
        <f t="shared" ref="U11:U15" si="8">IF(ISBLANK($G11)=TRUE,"",IF(SIGN(R11-T11)=SIGN($G11-$I11),1,0)+IF(R11=$G11,IF(T11=$I11,2,0),0))</f>
        <v/>
      </c>
      <c r="V11" s="3"/>
      <c r="W11" s="1" t="s">
        <v>1</v>
      </c>
      <c r="X11" s="7"/>
      <c r="Y11" s="9" t="str">
        <f t="shared" ref="Y11:Y15" si="9">IF(ISBLANK($G11)=TRUE,"",IF(SIGN(V11-X11)=SIGN($G11-$I11),1,0)+IF(V11=$G11,IF(X11=$I11,2,0),0))</f>
        <v/>
      </c>
      <c r="Z11" s="3">
        <v>1</v>
      </c>
      <c r="AA11" s="1" t="s">
        <v>1</v>
      </c>
      <c r="AB11" s="7">
        <v>3</v>
      </c>
      <c r="AC11" s="9" t="str">
        <f t="shared" ref="AC11:AC15" si="10">IF(ISBLANK($G11)=TRUE,"",IF(SIGN(Z11-AB11)=SIGN($G11-$I11),1,0)+IF(Z11=$G11,IF(AB11=$I11,2,0),0))</f>
        <v/>
      </c>
      <c r="AD11" s="3">
        <v>0</v>
      </c>
      <c r="AE11" s="1" t="s">
        <v>1</v>
      </c>
      <c r="AF11" s="7">
        <v>2</v>
      </c>
      <c r="AG11" s="9" t="str">
        <f t="shared" ref="AG11:AG15" si="11">IF(ISBLANK($G11)=TRUE,"",IF(SIGN(AD11-AF11)=SIGN($G11-$I11),1,0)+IF(AD11=$G11,IF(AF11=$I11,2,0),0))</f>
        <v/>
      </c>
    </row>
    <row r="12" spans="2:33" x14ac:dyDescent="0.25">
      <c r="B12" s="12">
        <v>46191</v>
      </c>
      <c r="C12" s="7" t="s">
        <v>63</v>
      </c>
      <c r="D12" s="3" t="s">
        <v>18</v>
      </c>
      <c r="E12" s="1" t="s">
        <v>1</v>
      </c>
      <c r="F12" s="5" t="s">
        <v>16</v>
      </c>
      <c r="G12" s="3"/>
      <c r="H12" s="1" t="s">
        <v>1</v>
      </c>
      <c r="I12" s="5"/>
      <c r="J12" s="3">
        <v>1</v>
      </c>
      <c r="K12" s="1" t="s">
        <v>1</v>
      </c>
      <c r="L12" s="7">
        <v>0</v>
      </c>
      <c r="M12" s="9" t="str">
        <f t="shared" si="6"/>
        <v/>
      </c>
      <c r="N12" s="3">
        <v>2</v>
      </c>
      <c r="O12" s="1" t="s">
        <v>1</v>
      </c>
      <c r="P12" s="7">
        <v>1</v>
      </c>
      <c r="Q12" s="9" t="str">
        <f t="shared" si="7"/>
        <v/>
      </c>
      <c r="R12" s="3">
        <v>2</v>
      </c>
      <c r="S12" s="1" t="s">
        <v>1</v>
      </c>
      <c r="T12" s="7">
        <v>1</v>
      </c>
      <c r="U12" s="9" t="str">
        <f t="shared" si="8"/>
        <v/>
      </c>
      <c r="V12" s="3"/>
      <c r="W12" s="1" t="s">
        <v>1</v>
      </c>
      <c r="X12" s="7"/>
      <c r="Y12" s="9" t="str">
        <f t="shared" si="9"/>
        <v/>
      </c>
      <c r="Z12" s="3">
        <v>2</v>
      </c>
      <c r="AA12" s="1" t="s">
        <v>1</v>
      </c>
      <c r="AB12" s="7">
        <v>0</v>
      </c>
      <c r="AC12" s="9" t="str">
        <f t="shared" si="10"/>
        <v/>
      </c>
      <c r="AD12" s="3">
        <v>2</v>
      </c>
      <c r="AE12" s="1" t="s">
        <v>1</v>
      </c>
      <c r="AF12" s="7">
        <v>1</v>
      </c>
      <c r="AG12" s="9" t="str">
        <f t="shared" si="11"/>
        <v/>
      </c>
    </row>
    <row r="13" spans="2:33" x14ac:dyDescent="0.25">
      <c r="B13" s="12">
        <v>46192</v>
      </c>
      <c r="C13" s="7" t="s">
        <v>67</v>
      </c>
      <c r="D13" s="3" t="s">
        <v>15</v>
      </c>
      <c r="E13" s="1" t="s">
        <v>1</v>
      </c>
      <c r="F13" s="5" t="s">
        <v>17</v>
      </c>
      <c r="G13" s="3"/>
      <c r="H13" s="1" t="s">
        <v>1</v>
      </c>
      <c r="I13" s="5"/>
      <c r="J13" s="3">
        <v>2</v>
      </c>
      <c r="K13" s="1" t="s">
        <v>1</v>
      </c>
      <c r="L13" s="7">
        <v>0</v>
      </c>
      <c r="M13" s="9" t="str">
        <f t="shared" si="6"/>
        <v/>
      </c>
      <c r="N13" s="3">
        <v>2</v>
      </c>
      <c r="O13" s="1" t="s">
        <v>1</v>
      </c>
      <c r="P13" s="7">
        <v>0</v>
      </c>
      <c r="Q13" s="9" t="str">
        <f t="shared" si="7"/>
        <v/>
      </c>
      <c r="R13" s="3">
        <v>2</v>
      </c>
      <c r="S13" s="1" t="s">
        <v>1</v>
      </c>
      <c r="T13" s="7">
        <v>1</v>
      </c>
      <c r="U13" s="9" t="str">
        <f t="shared" si="8"/>
        <v/>
      </c>
      <c r="V13" s="3"/>
      <c r="W13" s="1" t="s">
        <v>1</v>
      </c>
      <c r="X13" s="7"/>
      <c r="Y13" s="9" t="str">
        <f t="shared" si="9"/>
        <v/>
      </c>
      <c r="Z13" s="3">
        <v>3</v>
      </c>
      <c r="AA13" s="1" t="s">
        <v>1</v>
      </c>
      <c r="AB13" s="7">
        <v>1</v>
      </c>
      <c r="AC13" s="9" t="str">
        <f t="shared" si="10"/>
        <v/>
      </c>
      <c r="AD13" s="3">
        <v>2</v>
      </c>
      <c r="AE13" s="1" t="s">
        <v>1</v>
      </c>
      <c r="AF13" s="7">
        <v>0</v>
      </c>
      <c r="AG13" s="9" t="str">
        <f t="shared" si="11"/>
        <v/>
      </c>
    </row>
    <row r="14" spans="2:33" x14ac:dyDescent="0.25">
      <c r="B14" s="12">
        <v>46197</v>
      </c>
      <c r="C14" s="7" t="s">
        <v>63</v>
      </c>
      <c r="D14" s="3" t="s">
        <v>18</v>
      </c>
      <c r="E14" s="1" t="s">
        <v>1</v>
      </c>
      <c r="F14" s="5" t="s">
        <v>15</v>
      </c>
      <c r="G14" s="3"/>
      <c r="H14" s="1" t="s">
        <v>1</v>
      </c>
      <c r="I14" s="5"/>
      <c r="J14" s="3">
        <v>1</v>
      </c>
      <c r="K14" s="1" t="s">
        <v>1</v>
      </c>
      <c r="L14" s="7">
        <v>1</v>
      </c>
      <c r="M14" s="9" t="str">
        <f t="shared" si="6"/>
        <v/>
      </c>
      <c r="N14" s="3">
        <v>2</v>
      </c>
      <c r="O14" s="1" t="s">
        <v>1</v>
      </c>
      <c r="P14" s="7">
        <v>1</v>
      </c>
      <c r="Q14" s="9" t="str">
        <f t="shared" si="7"/>
        <v/>
      </c>
      <c r="R14" s="3">
        <v>1</v>
      </c>
      <c r="S14" s="1" t="s">
        <v>1</v>
      </c>
      <c r="T14" s="7">
        <v>1</v>
      </c>
      <c r="U14" s="9" t="str">
        <f t="shared" si="8"/>
        <v/>
      </c>
      <c r="V14" s="3"/>
      <c r="W14" s="1" t="s">
        <v>1</v>
      </c>
      <c r="X14" s="7"/>
      <c r="Y14" s="9" t="str">
        <f t="shared" si="9"/>
        <v/>
      </c>
      <c r="Z14" s="3">
        <v>2</v>
      </c>
      <c r="AA14" s="1" t="s">
        <v>1</v>
      </c>
      <c r="AB14" s="7">
        <v>0</v>
      </c>
      <c r="AC14" s="9" t="str">
        <f t="shared" si="10"/>
        <v/>
      </c>
      <c r="AD14" s="3">
        <v>3</v>
      </c>
      <c r="AE14" s="1" t="s">
        <v>1</v>
      </c>
      <c r="AF14" s="7">
        <v>1</v>
      </c>
      <c r="AG14" s="9" t="str">
        <f t="shared" si="11"/>
        <v/>
      </c>
    </row>
    <row r="15" spans="2:33" ht="15.75" thickBot="1" x14ac:dyDescent="0.3">
      <c r="B15" s="13">
        <v>46197</v>
      </c>
      <c r="C15" s="8" t="s">
        <v>63</v>
      </c>
      <c r="D15" s="4" t="s">
        <v>16</v>
      </c>
      <c r="E15" s="2" t="s">
        <v>1</v>
      </c>
      <c r="F15" s="6" t="s">
        <v>17</v>
      </c>
      <c r="G15" s="4"/>
      <c r="H15" s="2" t="s">
        <v>1</v>
      </c>
      <c r="I15" s="6"/>
      <c r="J15" s="4">
        <v>1</v>
      </c>
      <c r="K15" s="2" t="s">
        <v>1</v>
      </c>
      <c r="L15" s="8">
        <v>0</v>
      </c>
      <c r="M15" s="10" t="str">
        <f t="shared" si="6"/>
        <v/>
      </c>
      <c r="N15" s="4">
        <v>2</v>
      </c>
      <c r="O15" s="2" t="s">
        <v>1</v>
      </c>
      <c r="P15" s="8">
        <v>0</v>
      </c>
      <c r="Q15" s="10" t="str">
        <f t="shared" si="7"/>
        <v/>
      </c>
      <c r="R15" s="4">
        <v>1</v>
      </c>
      <c r="S15" s="2" t="s">
        <v>1</v>
      </c>
      <c r="T15" s="8">
        <v>0</v>
      </c>
      <c r="U15" s="10" t="str">
        <f t="shared" si="8"/>
        <v/>
      </c>
      <c r="V15" s="4"/>
      <c r="W15" s="2" t="s">
        <v>1</v>
      </c>
      <c r="X15" s="8"/>
      <c r="Y15" s="10" t="str">
        <f t="shared" si="9"/>
        <v/>
      </c>
      <c r="Z15" s="4">
        <v>2</v>
      </c>
      <c r="AA15" s="2" t="s">
        <v>1</v>
      </c>
      <c r="AB15" s="8">
        <v>4</v>
      </c>
      <c r="AC15" s="10" t="str">
        <f t="shared" si="10"/>
        <v/>
      </c>
      <c r="AD15" s="4">
        <v>2</v>
      </c>
      <c r="AE15" s="2" t="s">
        <v>1</v>
      </c>
      <c r="AF15" s="8">
        <v>0</v>
      </c>
      <c r="AG15" s="10" t="str">
        <f t="shared" si="11"/>
        <v/>
      </c>
    </row>
    <row r="16" spans="2:33" ht="15.75" thickBot="1" x14ac:dyDescent="0.3">
      <c r="B16" s="70" t="s">
        <v>77</v>
      </c>
      <c r="C16" s="71" t="s">
        <v>78</v>
      </c>
      <c r="D16" s="102" t="s">
        <v>9</v>
      </c>
      <c r="E16" s="103"/>
      <c r="F16" s="104"/>
      <c r="G16" s="72" t="s">
        <v>7</v>
      </c>
      <c r="H16" s="73"/>
      <c r="I16" s="74"/>
      <c r="J16" s="34"/>
      <c r="K16" s="36"/>
      <c r="L16" s="36"/>
      <c r="M16" s="35"/>
      <c r="N16" s="44"/>
      <c r="O16" s="45"/>
      <c r="P16" s="45"/>
      <c r="Q16" s="46"/>
      <c r="R16" s="41"/>
      <c r="S16" s="42"/>
      <c r="T16" s="42"/>
      <c r="U16" s="43"/>
      <c r="V16" s="53"/>
      <c r="W16" s="54"/>
      <c r="X16" s="54"/>
      <c r="Y16" s="55"/>
      <c r="Z16" s="50"/>
      <c r="AA16" s="51"/>
      <c r="AB16" s="51"/>
      <c r="AC16" s="52"/>
      <c r="AD16" s="83"/>
      <c r="AE16" s="84"/>
      <c r="AF16" s="84"/>
      <c r="AG16" s="85"/>
    </row>
    <row r="17" spans="2:33" x14ac:dyDescent="0.25">
      <c r="B17" s="12">
        <v>46187</v>
      </c>
      <c r="C17" s="7" t="s">
        <v>67</v>
      </c>
      <c r="D17" s="3" t="s">
        <v>19</v>
      </c>
      <c r="E17" s="1" t="s">
        <v>1</v>
      </c>
      <c r="F17" s="5" t="s">
        <v>20</v>
      </c>
      <c r="G17" s="3"/>
      <c r="H17" s="1" t="s">
        <v>1</v>
      </c>
      <c r="I17" s="5"/>
      <c r="J17" s="3">
        <v>2</v>
      </c>
      <c r="K17" s="1" t="s">
        <v>1</v>
      </c>
      <c r="L17" s="7">
        <v>0</v>
      </c>
      <c r="M17" s="11" t="str">
        <f>IF(ISBLANK($I17)=TRUE,"",IF(SIGN(J17-L17)=SIGN($G17-$I17),1,0)+IF(J17=$G17,IF(L17=$I17,2,0),0))</f>
        <v/>
      </c>
      <c r="N17" s="3">
        <v>2</v>
      </c>
      <c r="O17" s="1" t="s">
        <v>1</v>
      </c>
      <c r="P17" s="7">
        <v>0</v>
      </c>
      <c r="Q17" s="11" t="str">
        <f>IF(ISBLANK($I17)=TRUE,"",IF(SIGN(N17-P17)=SIGN($G17-$I17),1,0)+IF(N17=$G17,IF(P17=$I17,2,0),0))</f>
        <v/>
      </c>
      <c r="R17" s="3">
        <v>2</v>
      </c>
      <c r="S17" s="1" t="s">
        <v>1</v>
      </c>
      <c r="T17" s="7">
        <v>1</v>
      </c>
      <c r="U17" s="11" t="str">
        <f>IF(ISBLANK($I17)=TRUE,"",IF(SIGN(R17-T17)=SIGN($G17-$I17),1,0)+IF(R17=$G17,IF(T17=$I17,2,0),0))</f>
        <v/>
      </c>
      <c r="V17" s="3"/>
      <c r="W17" s="1" t="s">
        <v>1</v>
      </c>
      <c r="X17" s="7"/>
      <c r="Y17" s="11" t="str">
        <f>IF(ISBLANK($I17)=TRUE,"",IF(SIGN(V17-X17)=SIGN($G17-$I17),1,0)+IF(V17=$G17,IF(X17=$I17,2,0),0))</f>
        <v/>
      </c>
      <c r="Z17" s="3">
        <v>2</v>
      </c>
      <c r="AA17" s="1" t="s">
        <v>1</v>
      </c>
      <c r="AB17" s="7">
        <v>2</v>
      </c>
      <c r="AC17" s="11" t="str">
        <f>IF(ISBLANK($I17)=TRUE,"",IF(SIGN(Z17-AB17)=SIGN($G17-$I17),1,0)+IF(Z17=$G17,IF(AB17=$I17,2,0),0))</f>
        <v/>
      </c>
      <c r="AD17" s="3">
        <v>2</v>
      </c>
      <c r="AE17" s="1" t="s">
        <v>1</v>
      </c>
      <c r="AF17" s="7">
        <v>2</v>
      </c>
      <c r="AG17" s="11" t="str">
        <f>IF(ISBLANK($I17)=TRUE,"",IF(SIGN(AD17-AF17)=SIGN($G17-$I17),1,0)+IF(AD17=$G17,IF(AF17=$I17,2,0),0))</f>
        <v/>
      </c>
    </row>
    <row r="18" spans="2:33" x14ac:dyDescent="0.25">
      <c r="B18" s="12">
        <v>46187</v>
      </c>
      <c r="C18" s="7" t="s">
        <v>66</v>
      </c>
      <c r="D18" s="3" t="s">
        <v>21</v>
      </c>
      <c r="E18" s="1" t="s">
        <v>1</v>
      </c>
      <c r="F18" s="5" t="s">
        <v>22</v>
      </c>
      <c r="G18" s="3"/>
      <c r="H18" s="1" t="s">
        <v>1</v>
      </c>
      <c r="I18" s="5"/>
      <c r="J18" s="3">
        <v>0</v>
      </c>
      <c r="K18" s="1" t="s">
        <v>1</v>
      </c>
      <c r="L18" s="7">
        <v>2</v>
      </c>
      <c r="M18" s="9" t="str">
        <f t="shared" ref="M18:M22" si="12">IF(ISBLANK($G18)=TRUE,"",IF(SIGN(J18-L18)=SIGN($G18-$I18),1,0)+IF(J18=$G18,IF(L18=$I18,2,0),0))</f>
        <v/>
      </c>
      <c r="N18" s="3">
        <v>1</v>
      </c>
      <c r="O18" s="1" t="s">
        <v>1</v>
      </c>
      <c r="P18" s="7">
        <v>3</v>
      </c>
      <c r="Q18" s="9" t="str">
        <f t="shared" ref="Q18:Q22" si="13">IF(ISBLANK($G18)=TRUE,"",IF(SIGN(N18-P18)=SIGN($G18-$I18),1,0)+IF(N18=$G18,IF(P18=$I18,2,0),0))</f>
        <v/>
      </c>
      <c r="R18" s="3">
        <v>1</v>
      </c>
      <c r="S18" s="1" t="s">
        <v>1</v>
      </c>
      <c r="T18" s="7">
        <v>4</v>
      </c>
      <c r="U18" s="9" t="str">
        <f t="shared" ref="U18:U22" si="14">IF(ISBLANK($G18)=TRUE,"",IF(SIGN(R18-T18)=SIGN($G18-$I18),1,0)+IF(R18=$G18,IF(T18=$I18,2,0),0))</f>
        <v/>
      </c>
      <c r="V18" s="3"/>
      <c r="W18" s="1" t="s">
        <v>1</v>
      </c>
      <c r="X18" s="7"/>
      <c r="Y18" s="9" t="str">
        <f t="shared" ref="Y18:Y22" si="15">IF(ISBLANK($G18)=TRUE,"",IF(SIGN(V18-X18)=SIGN($G18-$I18),1,0)+IF(V18=$G18,IF(X18=$I18,2,0),0))</f>
        <v/>
      </c>
      <c r="Z18" s="3">
        <v>0</v>
      </c>
      <c r="AA18" s="1" t="s">
        <v>1</v>
      </c>
      <c r="AB18" s="7">
        <v>3</v>
      </c>
      <c r="AC18" s="9" t="str">
        <f t="shared" ref="AC18:AC22" si="16">IF(ISBLANK($G18)=TRUE,"",IF(SIGN(Z18-AB18)=SIGN($G18-$I18),1,0)+IF(Z18=$G18,IF(AB18=$I18,2,0),0))</f>
        <v/>
      </c>
      <c r="AD18" s="3">
        <v>0</v>
      </c>
      <c r="AE18" s="1" t="s">
        <v>1</v>
      </c>
      <c r="AF18" s="7">
        <v>1</v>
      </c>
      <c r="AG18" s="9" t="str">
        <f t="shared" ref="AG18:AG22" si="17">IF(ISBLANK($G18)=TRUE,"",IF(SIGN(AD18-AF18)=SIGN($G18-$I18),1,0)+IF(AD18=$G18,IF(AF18=$I18,2,0),0))</f>
        <v/>
      </c>
    </row>
    <row r="19" spans="2:33" x14ac:dyDescent="0.25">
      <c r="B19" s="12">
        <v>46193</v>
      </c>
      <c r="C19" s="7" t="s">
        <v>67</v>
      </c>
      <c r="D19" s="3" t="s">
        <v>22</v>
      </c>
      <c r="E19" s="1" t="s">
        <v>1</v>
      </c>
      <c r="F19" s="5" t="s">
        <v>20</v>
      </c>
      <c r="G19" s="3"/>
      <c r="H19" s="1" t="s">
        <v>1</v>
      </c>
      <c r="I19" s="5"/>
      <c r="J19" s="3">
        <v>0</v>
      </c>
      <c r="K19" s="1" t="s">
        <v>1</v>
      </c>
      <c r="L19" s="7">
        <v>1</v>
      </c>
      <c r="M19" s="9" t="str">
        <f t="shared" si="12"/>
        <v/>
      </c>
      <c r="N19" s="3">
        <v>1</v>
      </c>
      <c r="O19" s="1" t="s">
        <v>1</v>
      </c>
      <c r="P19" s="7">
        <v>2</v>
      </c>
      <c r="Q19" s="9" t="str">
        <f t="shared" si="13"/>
        <v/>
      </c>
      <c r="R19" s="3">
        <v>1</v>
      </c>
      <c r="S19" s="1" t="s">
        <v>1</v>
      </c>
      <c r="T19" s="7">
        <v>2</v>
      </c>
      <c r="U19" s="9" t="str">
        <f t="shared" si="14"/>
        <v/>
      </c>
      <c r="V19" s="3"/>
      <c r="W19" s="1" t="s">
        <v>1</v>
      </c>
      <c r="X19" s="7"/>
      <c r="Y19" s="9" t="str">
        <f t="shared" si="15"/>
        <v/>
      </c>
      <c r="Z19" s="3">
        <v>0</v>
      </c>
      <c r="AA19" s="1" t="s">
        <v>1</v>
      </c>
      <c r="AB19" s="7">
        <v>2</v>
      </c>
      <c r="AC19" s="9" t="str">
        <f t="shared" si="16"/>
        <v/>
      </c>
      <c r="AD19" s="3">
        <v>0</v>
      </c>
      <c r="AE19" s="1" t="s">
        <v>1</v>
      </c>
      <c r="AF19" s="7">
        <v>3</v>
      </c>
      <c r="AG19" s="9" t="str">
        <f t="shared" si="17"/>
        <v/>
      </c>
    </row>
    <row r="20" spans="2:33" x14ac:dyDescent="0.25">
      <c r="B20" s="12">
        <v>46193</v>
      </c>
      <c r="C20" s="7" t="s">
        <v>68</v>
      </c>
      <c r="D20" s="3" t="s">
        <v>19</v>
      </c>
      <c r="E20" s="1" t="s">
        <v>1</v>
      </c>
      <c r="F20" s="5" t="s">
        <v>21</v>
      </c>
      <c r="G20" s="3"/>
      <c r="H20" s="1" t="s">
        <v>1</v>
      </c>
      <c r="I20" s="5"/>
      <c r="J20" s="3">
        <v>3</v>
      </c>
      <c r="K20" s="1" t="s">
        <v>1</v>
      </c>
      <c r="L20" s="7">
        <v>0</v>
      </c>
      <c r="M20" s="9" t="str">
        <f t="shared" si="12"/>
        <v/>
      </c>
      <c r="N20" s="3">
        <v>3</v>
      </c>
      <c r="O20" s="1" t="s">
        <v>1</v>
      </c>
      <c r="P20" s="7">
        <v>0</v>
      </c>
      <c r="Q20" s="9" t="str">
        <f t="shared" si="13"/>
        <v/>
      </c>
      <c r="R20" s="3">
        <v>4</v>
      </c>
      <c r="S20" s="1" t="s">
        <v>1</v>
      </c>
      <c r="T20" s="7">
        <v>0</v>
      </c>
      <c r="U20" s="9" t="str">
        <f t="shared" si="14"/>
        <v/>
      </c>
      <c r="V20" s="3"/>
      <c r="W20" s="1" t="s">
        <v>1</v>
      </c>
      <c r="X20" s="7"/>
      <c r="Y20" s="9" t="str">
        <f t="shared" si="15"/>
        <v/>
      </c>
      <c r="Z20" s="3">
        <v>2</v>
      </c>
      <c r="AA20" s="1" t="s">
        <v>1</v>
      </c>
      <c r="AB20" s="7">
        <v>0</v>
      </c>
      <c r="AC20" s="9" t="str">
        <f t="shared" si="16"/>
        <v/>
      </c>
      <c r="AD20" s="3">
        <v>2</v>
      </c>
      <c r="AE20" s="1" t="s">
        <v>1</v>
      </c>
      <c r="AF20" s="7">
        <v>0</v>
      </c>
      <c r="AG20" s="9" t="str">
        <f t="shared" si="17"/>
        <v/>
      </c>
    </row>
    <row r="21" spans="2:33" x14ac:dyDescent="0.25">
      <c r="B21" s="12">
        <v>46198</v>
      </c>
      <c r="C21" s="7" t="s">
        <v>67</v>
      </c>
      <c r="D21" s="3" t="s">
        <v>22</v>
      </c>
      <c r="E21" s="1" t="s">
        <v>1</v>
      </c>
      <c r="F21" s="5" t="s">
        <v>19</v>
      </c>
      <c r="G21" s="3"/>
      <c r="H21" s="1" t="s">
        <v>1</v>
      </c>
      <c r="I21" s="5"/>
      <c r="J21" s="3">
        <v>0</v>
      </c>
      <c r="K21" s="1" t="s">
        <v>1</v>
      </c>
      <c r="L21" s="7">
        <v>2</v>
      </c>
      <c r="M21" s="9" t="str">
        <f t="shared" si="12"/>
        <v/>
      </c>
      <c r="N21" s="3">
        <v>1</v>
      </c>
      <c r="O21" s="1" t="s">
        <v>1</v>
      </c>
      <c r="P21" s="7">
        <v>2</v>
      </c>
      <c r="Q21" s="9" t="str">
        <f t="shared" si="13"/>
        <v/>
      </c>
      <c r="R21" s="3">
        <v>1</v>
      </c>
      <c r="S21" s="1" t="s">
        <v>1</v>
      </c>
      <c r="T21" s="7">
        <v>1</v>
      </c>
      <c r="U21" s="9" t="str">
        <f t="shared" si="14"/>
        <v/>
      </c>
      <c r="V21" s="3"/>
      <c r="W21" s="1" t="s">
        <v>1</v>
      </c>
      <c r="X21" s="7"/>
      <c r="Y21" s="9" t="str">
        <f t="shared" si="15"/>
        <v/>
      </c>
      <c r="Z21" s="3">
        <v>1</v>
      </c>
      <c r="AA21" s="1" t="s">
        <v>1</v>
      </c>
      <c r="AB21" s="7">
        <v>3</v>
      </c>
      <c r="AC21" s="9" t="str">
        <f t="shared" si="16"/>
        <v/>
      </c>
      <c r="AD21" s="3">
        <v>0</v>
      </c>
      <c r="AE21" s="1" t="s">
        <v>1</v>
      </c>
      <c r="AF21" s="7">
        <v>3</v>
      </c>
      <c r="AG21" s="9" t="str">
        <f t="shared" si="17"/>
        <v/>
      </c>
    </row>
    <row r="22" spans="2:33" ht="15.75" thickBot="1" x14ac:dyDescent="0.3">
      <c r="B22" s="13">
        <v>46198</v>
      </c>
      <c r="C22" s="8" t="s">
        <v>67</v>
      </c>
      <c r="D22" s="4" t="s">
        <v>20</v>
      </c>
      <c r="E22" s="2" t="s">
        <v>1</v>
      </c>
      <c r="F22" s="6" t="s">
        <v>21</v>
      </c>
      <c r="G22" s="4"/>
      <c r="H22" s="2" t="s">
        <v>1</v>
      </c>
      <c r="I22" s="6"/>
      <c r="J22" s="4">
        <v>2</v>
      </c>
      <c r="K22" s="2" t="s">
        <v>1</v>
      </c>
      <c r="L22" s="8">
        <v>0</v>
      </c>
      <c r="M22" s="10" t="str">
        <f t="shared" si="12"/>
        <v/>
      </c>
      <c r="N22" s="4">
        <v>3</v>
      </c>
      <c r="O22" s="2" t="s">
        <v>1</v>
      </c>
      <c r="P22" s="8">
        <v>1</v>
      </c>
      <c r="Q22" s="10" t="str">
        <f t="shared" si="13"/>
        <v/>
      </c>
      <c r="R22" s="4">
        <v>2</v>
      </c>
      <c r="S22" s="2" t="s">
        <v>1</v>
      </c>
      <c r="T22" s="8">
        <v>0</v>
      </c>
      <c r="U22" s="10" t="str">
        <f t="shared" si="14"/>
        <v/>
      </c>
      <c r="V22" s="4"/>
      <c r="W22" s="2" t="s">
        <v>1</v>
      </c>
      <c r="X22" s="8"/>
      <c r="Y22" s="10" t="str">
        <f t="shared" si="15"/>
        <v/>
      </c>
      <c r="Z22" s="4">
        <v>4</v>
      </c>
      <c r="AA22" s="2" t="s">
        <v>1</v>
      </c>
      <c r="AB22" s="8">
        <v>1</v>
      </c>
      <c r="AC22" s="10" t="str">
        <f t="shared" si="16"/>
        <v/>
      </c>
      <c r="AD22" s="4">
        <v>3</v>
      </c>
      <c r="AE22" s="2" t="s">
        <v>1</v>
      </c>
      <c r="AF22" s="8">
        <v>0</v>
      </c>
      <c r="AG22" s="10" t="str">
        <f t="shared" si="17"/>
        <v/>
      </c>
    </row>
    <row r="23" spans="2:33" ht="15.75" thickBot="1" x14ac:dyDescent="0.3">
      <c r="B23" s="70" t="s">
        <v>77</v>
      </c>
      <c r="C23" s="71" t="s">
        <v>78</v>
      </c>
      <c r="D23" s="102" t="s">
        <v>10</v>
      </c>
      <c r="E23" s="103"/>
      <c r="F23" s="104"/>
      <c r="G23" s="72" t="s">
        <v>7</v>
      </c>
      <c r="H23" s="73"/>
      <c r="I23" s="74"/>
      <c r="J23" s="34"/>
      <c r="K23" s="36"/>
      <c r="L23" s="36"/>
      <c r="M23" s="35"/>
      <c r="N23" s="44"/>
      <c r="O23" s="45"/>
      <c r="P23" s="45"/>
      <c r="Q23" s="46"/>
      <c r="R23" s="41"/>
      <c r="S23" s="42"/>
      <c r="T23" s="42"/>
      <c r="U23" s="43"/>
      <c r="V23" s="53"/>
      <c r="W23" s="54"/>
      <c r="X23" s="54"/>
      <c r="Y23" s="55"/>
      <c r="Z23" s="50"/>
      <c r="AA23" s="51"/>
      <c r="AB23" s="51"/>
      <c r="AC23" s="52"/>
      <c r="AD23" s="83"/>
      <c r="AE23" s="84"/>
      <c r="AF23" s="84"/>
      <c r="AG23" s="85"/>
    </row>
    <row r="24" spans="2:33" x14ac:dyDescent="0.25">
      <c r="B24" s="12">
        <v>46186</v>
      </c>
      <c r="C24" s="7" t="s">
        <v>66</v>
      </c>
      <c r="D24" s="3" t="s">
        <v>23</v>
      </c>
      <c r="E24" s="1" t="s">
        <v>1</v>
      </c>
      <c r="F24" s="5" t="s">
        <v>24</v>
      </c>
      <c r="G24" s="3"/>
      <c r="H24" s="1" t="s">
        <v>1</v>
      </c>
      <c r="I24" s="5"/>
      <c r="J24" s="3">
        <v>1</v>
      </c>
      <c r="K24" s="1" t="s">
        <v>1</v>
      </c>
      <c r="L24" s="7">
        <v>0</v>
      </c>
      <c r="M24" s="11" t="str">
        <f>IF(ISBLANK($I24)=TRUE,"",IF(SIGN(J24-L24)=SIGN($G24-$I24),1,0)+IF(J24=$G24,IF(L24=$I24,2,0),0))</f>
        <v/>
      </c>
      <c r="N24" s="3">
        <v>3</v>
      </c>
      <c r="O24" s="1" t="s">
        <v>1</v>
      </c>
      <c r="P24" s="7">
        <v>1</v>
      </c>
      <c r="Q24" s="11" t="str">
        <f>IF(ISBLANK($I24)=TRUE,"",IF(SIGN(N24-P24)=SIGN($G24-$I24),1,0)+IF(N24=$G24,IF(P24=$I24,2,0),0))</f>
        <v/>
      </c>
      <c r="R24" s="3">
        <v>2</v>
      </c>
      <c r="S24" s="1" t="s">
        <v>1</v>
      </c>
      <c r="T24" s="7">
        <v>1</v>
      </c>
      <c r="U24" s="11" t="str">
        <f>IF(ISBLANK($I24)=TRUE,"",IF(SIGN(R24-T24)=SIGN($G24-$I24),1,0)+IF(R24=$G24,IF(T24=$I24,2,0),0))</f>
        <v/>
      </c>
      <c r="V24" s="3"/>
      <c r="W24" s="1" t="s">
        <v>1</v>
      </c>
      <c r="X24" s="7"/>
      <c r="Y24" s="11" t="str">
        <f>IF(ISBLANK($I24)=TRUE,"",IF(SIGN(V24-X24)=SIGN($G24-$I24),1,0)+IF(V24=$G24,IF(X24=$I24,2,0),0))</f>
        <v/>
      </c>
      <c r="Z24" s="3">
        <v>2</v>
      </c>
      <c r="AA24" s="1" t="s">
        <v>1</v>
      </c>
      <c r="AB24" s="7">
        <v>0</v>
      </c>
      <c r="AC24" s="11" t="str">
        <f>IF(ISBLANK($I24)=TRUE,"",IF(SIGN(Z24-AB24)=SIGN($G24-$I24),1,0)+IF(Z24=$G24,IF(AB24=$I24,2,0),0))</f>
        <v/>
      </c>
      <c r="AD24" s="3">
        <v>2</v>
      </c>
      <c r="AE24" s="1" t="s">
        <v>1</v>
      </c>
      <c r="AF24" s="7">
        <v>0</v>
      </c>
      <c r="AG24" s="11" t="str">
        <f>IF(ISBLANK($I24)=TRUE,"",IF(SIGN(AD24-AF24)=SIGN($G24-$I24),1,0)+IF(AD24=$G24,IF(AF24=$I24,2,0),0))</f>
        <v/>
      </c>
    </row>
    <row r="25" spans="2:33" x14ac:dyDescent="0.25">
      <c r="B25" s="12">
        <v>46187</v>
      </c>
      <c r="C25" s="7" t="s">
        <v>69</v>
      </c>
      <c r="D25" s="3" t="s">
        <v>25</v>
      </c>
      <c r="E25" s="1" t="s">
        <v>1</v>
      </c>
      <c r="F25" s="5" t="s">
        <v>26</v>
      </c>
      <c r="G25" s="3"/>
      <c r="H25" s="1" t="s">
        <v>1</v>
      </c>
      <c r="I25" s="5"/>
      <c r="J25" s="3">
        <v>0</v>
      </c>
      <c r="K25" s="1" t="s">
        <v>1</v>
      </c>
      <c r="L25" s="7">
        <v>2</v>
      </c>
      <c r="M25" s="9" t="str">
        <f t="shared" ref="M25:M29" si="18">IF(ISBLANK($G25)=TRUE,"",IF(SIGN(J25-L25)=SIGN($G25-$I25),1,0)+IF(J25=$G25,IF(L25=$I25,2,0),0))</f>
        <v/>
      </c>
      <c r="N25" s="3">
        <v>1</v>
      </c>
      <c r="O25" s="1" t="s">
        <v>1</v>
      </c>
      <c r="P25" s="7">
        <v>2</v>
      </c>
      <c r="Q25" s="9" t="str">
        <f t="shared" ref="Q25:Q29" si="19">IF(ISBLANK($G25)=TRUE,"",IF(SIGN(N25-P25)=SIGN($G25-$I25),1,0)+IF(N25=$G25,IF(P25=$I25,2,0),0))</f>
        <v/>
      </c>
      <c r="R25" s="3">
        <v>1</v>
      </c>
      <c r="S25" s="1" t="s">
        <v>1</v>
      </c>
      <c r="T25" s="7">
        <v>1</v>
      </c>
      <c r="U25" s="9" t="str">
        <f t="shared" ref="U25:U29" si="20">IF(ISBLANK($G25)=TRUE,"",IF(SIGN(R25-T25)=SIGN($G25-$I25),1,0)+IF(R25=$G25,IF(T25=$I25,2,0),0))</f>
        <v/>
      </c>
      <c r="V25" s="3"/>
      <c r="W25" s="1" t="s">
        <v>1</v>
      </c>
      <c r="X25" s="7"/>
      <c r="Y25" s="9" t="str">
        <f t="shared" ref="Y25:Y29" si="21">IF(ISBLANK($G25)=TRUE,"",IF(SIGN(V25-X25)=SIGN($G25-$I25),1,0)+IF(V25=$G25,IF(X25=$I25,2,0),0))</f>
        <v/>
      </c>
      <c r="Z25" s="3">
        <v>2</v>
      </c>
      <c r="AA25" s="1" t="s">
        <v>1</v>
      </c>
      <c r="AB25" s="7">
        <v>0</v>
      </c>
      <c r="AC25" s="9" t="str">
        <f t="shared" ref="AC25:AC29" si="22">IF(ISBLANK($G25)=TRUE,"",IF(SIGN(Z25-AB25)=SIGN($G25-$I25),1,0)+IF(Z25=$G25,IF(AB25=$I25,2,0),0))</f>
        <v/>
      </c>
      <c r="AD25" s="3">
        <v>0</v>
      </c>
      <c r="AE25" s="1" t="s">
        <v>1</v>
      </c>
      <c r="AF25" s="7">
        <v>2</v>
      </c>
      <c r="AG25" s="9" t="str">
        <f t="shared" ref="AG25:AG29" si="23">IF(ISBLANK($G25)=TRUE,"",IF(SIGN(AD25-AF25)=SIGN($G25-$I25),1,0)+IF(AD25=$G25,IF(AF25=$I25,2,0),0))</f>
        <v/>
      </c>
    </row>
    <row r="26" spans="2:33" x14ac:dyDescent="0.25">
      <c r="B26" s="12">
        <v>46192</v>
      </c>
      <c r="C26" s="7" t="s">
        <v>63</v>
      </c>
      <c r="D26" s="3" t="s">
        <v>23</v>
      </c>
      <c r="E26" s="1" t="s">
        <v>1</v>
      </c>
      <c r="F26" s="5" t="s">
        <v>25</v>
      </c>
      <c r="G26" s="3"/>
      <c r="H26" s="1" t="s">
        <v>1</v>
      </c>
      <c r="I26" s="5"/>
      <c r="J26" s="3">
        <v>2</v>
      </c>
      <c r="K26" s="1" t="s">
        <v>1</v>
      </c>
      <c r="L26" s="7">
        <v>0</v>
      </c>
      <c r="M26" s="9" t="str">
        <f t="shared" si="18"/>
        <v/>
      </c>
      <c r="N26" s="3">
        <v>2</v>
      </c>
      <c r="O26" s="1" t="s">
        <v>1</v>
      </c>
      <c r="P26" s="7">
        <v>1</v>
      </c>
      <c r="Q26" s="9" t="str">
        <f t="shared" si="19"/>
        <v/>
      </c>
      <c r="R26" s="3">
        <v>1</v>
      </c>
      <c r="S26" s="1" t="s">
        <v>1</v>
      </c>
      <c r="T26" s="7">
        <v>0</v>
      </c>
      <c r="U26" s="9" t="str">
        <f t="shared" si="20"/>
        <v/>
      </c>
      <c r="V26" s="3"/>
      <c r="W26" s="1" t="s">
        <v>1</v>
      </c>
      <c r="X26" s="7"/>
      <c r="Y26" s="9" t="str">
        <f t="shared" si="21"/>
        <v/>
      </c>
      <c r="Z26" s="3">
        <v>3</v>
      </c>
      <c r="AA26" s="1" t="s">
        <v>1</v>
      </c>
      <c r="AB26" s="7">
        <v>2</v>
      </c>
      <c r="AC26" s="9" t="str">
        <f t="shared" si="22"/>
        <v/>
      </c>
      <c r="AD26" s="3">
        <v>2</v>
      </c>
      <c r="AE26" s="1" t="s">
        <v>1</v>
      </c>
      <c r="AF26" s="7">
        <v>1</v>
      </c>
      <c r="AG26" s="9" t="str">
        <f t="shared" si="23"/>
        <v/>
      </c>
    </row>
    <row r="27" spans="2:33" x14ac:dyDescent="0.25">
      <c r="B27" s="12">
        <v>46193</v>
      </c>
      <c r="C27" s="7" t="s">
        <v>70</v>
      </c>
      <c r="D27" s="3" t="s">
        <v>26</v>
      </c>
      <c r="E27" s="1" t="s">
        <v>1</v>
      </c>
      <c r="F27" s="5" t="s">
        <v>24</v>
      </c>
      <c r="G27" s="3"/>
      <c r="H27" s="1" t="s">
        <v>1</v>
      </c>
      <c r="I27" s="5"/>
      <c r="J27" s="3">
        <v>1</v>
      </c>
      <c r="K27" s="1" t="s">
        <v>1</v>
      </c>
      <c r="L27" s="7">
        <v>1</v>
      </c>
      <c r="M27" s="9" t="str">
        <f t="shared" si="18"/>
        <v/>
      </c>
      <c r="N27" s="3">
        <v>2</v>
      </c>
      <c r="O27" s="1" t="s">
        <v>1</v>
      </c>
      <c r="P27" s="7">
        <v>1</v>
      </c>
      <c r="Q27" s="9" t="str">
        <f t="shared" si="19"/>
        <v/>
      </c>
      <c r="R27" s="3">
        <v>1</v>
      </c>
      <c r="S27" s="1" t="s">
        <v>1</v>
      </c>
      <c r="T27" s="7">
        <v>2</v>
      </c>
      <c r="U27" s="9" t="str">
        <f t="shared" si="20"/>
        <v/>
      </c>
      <c r="V27" s="3"/>
      <c r="W27" s="1" t="s">
        <v>1</v>
      </c>
      <c r="X27" s="7"/>
      <c r="Y27" s="9" t="str">
        <f t="shared" si="21"/>
        <v/>
      </c>
      <c r="Z27" s="3">
        <v>1</v>
      </c>
      <c r="AA27" s="1" t="s">
        <v>1</v>
      </c>
      <c r="AB27" s="7">
        <v>3</v>
      </c>
      <c r="AC27" s="9" t="str">
        <f t="shared" si="22"/>
        <v/>
      </c>
      <c r="AD27" s="3">
        <v>2</v>
      </c>
      <c r="AE27" s="1" t="s">
        <v>1</v>
      </c>
      <c r="AF27" s="7">
        <v>2</v>
      </c>
      <c r="AG27" s="9" t="str">
        <f t="shared" si="23"/>
        <v/>
      </c>
    </row>
    <row r="28" spans="2:33" x14ac:dyDescent="0.25">
      <c r="B28" s="12">
        <v>46199</v>
      </c>
      <c r="C28" s="7" t="s">
        <v>64</v>
      </c>
      <c r="D28" s="3" t="s">
        <v>26</v>
      </c>
      <c r="E28" s="1" t="s">
        <v>1</v>
      </c>
      <c r="F28" s="5" t="s">
        <v>23</v>
      </c>
      <c r="G28" s="3"/>
      <c r="H28" s="1" t="s">
        <v>1</v>
      </c>
      <c r="I28" s="5"/>
      <c r="J28" s="3">
        <v>1</v>
      </c>
      <c r="K28" s="1" t="s">
        <v>1</v>
      </c>
      <c r="L28" s="7">
        <v>1</v>
      </c>
      <c r="M28" s="9" t="str">
        <f t="shared" si="18"/>
        <v/>
      </c>
      <c r="N28" s="3">
        <v>2</v>
      </c>
      <c r="O28" s="1" t="s">
        <v>1</v>
      </c>
      <c r="P28" s="7">
        <v>1</v>
      </c>
      <c r="Q28" s="9" t="str">
        <f t="shared" si="19"/>
        <v/>
      </c>
      <c r="R28" s="3">
        <v>1</v>
      </c>
      <c r="S28" s="1" t="s">
        <v>1</v>
      </c>
      <c r="T28" s="7">
        <v>1</v>
      </c>
      <c r="U28" s="9" t="str">
        <f t="shared" si="20"/>
        <v/>
      </c>
      <c r="V28" s="3"/>
      <c r="W28" s="1" t="s">
        <v>1</v>
      </c>
      <c r="X28" s="7"/>
      <c r="Y28" s="9" t="str">
        <f t="shared" si="21"/>
        <v/>
      </c>
      <c r="Z28" s="3">
        <v>0</v>
      </c>
      <c r="AA28" s="1" t="s">
        <v>1</v>
      </c>
      <c r="AB28" s="7">
        <v>3</v>
      </c>
      <c r="AC28" s="9" t="str">
        <f t="shared" si="22"/>
        <v/>
      </c>
      <c r="AD28" s="3">
        <v>3</v>
      </c>
      <c r="AE28" s="1" t="s">
        <v>1</v>
      </c>
      <c r="AF28" s="7">
        <v>2</v>
      </c>
      <c r="AG28" s="9" t="str">
        <f t="shared" si="23"/>
        <v/>
      </c>
    </row>
    <row r="29" spans="2:33" ht="15.75" thickBot="1" x14ac:dyDescent="0.3">
      <c r="B29" s="13">
        <v>46199</v>
      </c>
      <c r="C29" s="8" t="s">
        <v>64</v>
      </c>
      <c r="D29" s="4" t="s">
        <v>24</v>
      </c>
      <c r="E29" s="2" t="s">
        <v>1</v>
      </c>
      <c r="F29" s="6" t="s">
        <v>25</v>
      </c>
      <c r="G29" s="4"/>
      <c r="H29" s="2" t="s">
        <v>1</v>
      </c>
      <c r="I29" s="6"/>
      <c r="J29" s="4">
        <v>1</v>
      </c>
      <c r="K29" s="2" t="s">
        <v>1</v>
      </c>
      <c r="L29" s="8">
        <v>1</v>
      </c>
      <c r="M29" s="10" t="str">
        <f t="shared" si="18"/>
        <v/>
      </c>
      <c r="N29" s="4">
        <v>2</v>
      </c>
      <c r="O29" s="2" t="s">
        <v>1</v>
      </c>
      <c r="P29" s="8">
        <v>1</v>
      </c>
      <c r="Q29" s="10" t="str">
        <f t="shared" si="19"/>
        <v/>
      </c>
      <c r="R29" s="4">
        <v>1</v>
      </c>
      <c r="S29" s="2" t="s">
        <v>1</v>
      </c>
      <c r="T29" s="8">
        <v>1</v>
      </c>
      <c r="U29" s="10" t="str">
        <f t="shared" si="20"/>
        <v/>
      </c>
      <c r="V29" s="4"/>
      <c r="W29" s="2" t="s">
        <v>1</v>
      </c>
      <c r="X29" s="8"/>
      <c r="Y29" s="10" t="str">
        <f t="shared" si="21"/>
        <v/>
      </c>
      <c r="Z29" s="4">
        <v>1</v>
      </c>
      <c r="AA29" s="2" t="s">
        <v>1</v>
      </c>
      <c r="AB29" s="8">
        <v>1</v>
      </c>
      <c r="AC29" s="10" t="str">
        <f t="shared" si="22"/>
        <v/>
      </c>
      <c r="AD29" s="4">
        <v>1</v>
      </c>
      <c r="AE29" s="2" t="s">
        <v>1</v>
      </c>
      <c r="AF29" s="8">
        <v>1</v>
      </c>
      <c r="AG29" s="10" t="str">
        <f t="shared" si="23"/>
        <v/>
      </c>
    </row>
    <row r="30" spans="2:33" ht="15.75" thickBot="1" x14ac:dyDescent="0.3">
      <c r="B30" s="70" t="s">
        <v>77</v>
      </c>
      <c r="C30" s="71" t="s">
        <v>78</v>
      </c>
      <c r="D30" s="102" t="s">
        <v>11</v>
      </c>
      <c r="E30" s="103"/>
      <c r="F30" s="104"/>
      <c r="G30" s="72" t="s">
        <v>7</v>
      </c>
      <c r="H30" s="73"/>
      <c r="I30" s="74"/>
      <c r="J30" s="34"/>
      <c r="K30" s="36"/>
      <c r="L30" s="36"/>
      <c r="M30" s="35"/>
      <c r="N30" s="44"/>
      <c r="O30" s="45"/>
      <c r="P30" s="45"/>
      <c r="Q30" s="46"/>
      <c r="R30" s="41"/>
      <c r="S30" s="42"/>
      <c r="T30" s="42"/>
      <c r="U30" s="43"/>
      <c r="V30" s="53"/>
      <c r="W30" s="54"/>
      <c r="X30" s="54"/>
      <c r="Y30" s="55"/>
      <c r="Z30" s="50"/>
      <c r="AA30" s="51"/>
      <c r="AB30" s="51"/>
      <c r="AC30" s="52"/>
      <c r="AD30" s="83"/>
      <c r="AE30" s="84"/>
      <c r="AF30" s="84"/>
      <c r="AG30" s="85"/>
    </row>
    <row r="31" spans="2:33" x14ac:dyDescent="0.25">
      <c r="B31" s="12">
        <v>46187</v>
      </c>
      <c r="C31" s="7" t="s">
        <v>71</v>
      </c>
      <c r="D31" s="3" t="s">
        <v>27</v>
      </c>
      <c r="E31" s="1" t="s">
        <v>1</v>
      </c>
      <c r="F31" s="5" t="s">
        <v>28</v>
      </c>
      <c r="G31" s="3"/>
      <c r="H31" s="1" t="s">
        <v>1</v>
      </c>
      <c r="I31" s="5"/>
      <c r="J31" s="3">
        <v>4</v>
      </c>
      <c r="K31" s="1" t="s">
        <v>1</v>
      </c>
      <c r="L31" s="7">
        <v>0</v>
      </c>
      <c r="M31" s="11" t="str">
        <f>IF(ISBLANK($I31)=TRUE,"",IF(SIGN(J31-L31)=SIGN($G31-$I31),1,0)+IF(J31=$G31,IF(L31=$I31,2,0),0))</f>
        <v/>
      </c>
      <c r="N31" s="3">
        <v>4</v>
      </c>
      <c r="O31" s="1" t="s">
        <v>1</v>
      </c>
      <c r="P31" s="7">
        <v>0</v>
      </c>
      <c r="Q31" s="11" t="str">
        <f>IF(ISBLANK($I31)=TRUE,"",IF(SIGN(N31-P31)=SIGN($G31-$I31),1,0)+IF(N31=$G31,IF(P31=$I31,2,0),0))</f>
        <v/>
      </c>
      <c r="R31" s="3">
        <v>7</v>
      </c>
      <c r="S31" s="1" t="s">
        <v>1</v>
      </c>
      <c r="T31" s="7">
        <v>0</v>
      </c>
      <c r="U31" s="11" t="str">
        <f>IF(ISBLANK($I31)=TRUE,"",IF(SIGN(R31-T31)=SIGN($G31-$I31),1,0)+IF(R31=$G31,IF(T31=$I31,2,0),0))</f>
        <v/>
      </c>
      <c r="V31" s="3"/>
      <c r="W31" s="1" t="s">
        <v>1</v>
      </c>
      <c r="X31" s="7"/>
      <c r="Y31" s="11" t="str">
        <f>IF(ISBLANK($I31)=TRUE,"",IF(SIGN(V31-X31)=SIGN($G31-$I31),1,0)+IF(V31=$G31,IF(X31=$I31,2,0),0))</f>
        <v/>
      </c>
      <c r="Z31" s="3">
        <v>2</v>
      </c>
      <c r="AA31" s="1" t="s">
        <v>1</v>
      </c>
      <c r="AB31" s="7">
        <v>1</v>
      </c>
      <c r="AC31" s="11" t="str">
        <f>IF(ISBLANK($I31)=TRUE,"",IF(SIGN(Z31-AB31)=SIGN($G31-$I31),1,0)+IF(Z31=$G31,IF(AB31=$I31,2,0),0))</f>
        <v/>
      </c>
      <c r="AD31" s="3">
        <v>3</v>
      </c>
      <c r="AE31" s="1" t="s">
        <v>1</v>
      </c>
      <c r="AF31" s="7">
        <v>0</v>
      </c>
      <c r="AG31" s="11" t="str">
        <f>IF(ISBLANK($I31)=TRUE,"",IF(SIGN(AD31-AF31)=SIGN($G31-$I31),1,0)+IF(AD31=$G31,IF(AF31=$I31,2,0),0))</f>
        <v/>
      </c>
    </row>
    <row r="32" spans="2:33" x14ac:dyDescent="0.25">
      <c r="B32" s="12">
        <v>46188</v>
      </c>
      <c r="C32" s="7" t="s">
        <v>72</v>
      </c>
      <c r="D32" s="3" t="s">
        <v>29</v>
      </c>
      <c r="E32" s="1" t="s">
        <v>1</v>
      </c>
      <c r="F32" s="5" t="s">
        <v>30</v>
      </c>
      <c r="G32" s="3"/>
      <c r="H32" s="1" t="s">
        <v>1</v>
      </c>
      <c r="I32" s="5"/>
      <c r="J32" s="3">
        <v>0</v>
      </c>
      <c r="K32" s="1" t="s">
        <v>1</v>
      </c>
      <c r="L32" s="7">
        <v>1</v>
      </c>
      <c r="M32" s="9" t="str">
        <f t="shared" ref="M32:M36" si="24">IF(ISBLANK($G32)=TRUE,"",IF(SIGN(J32-L32)=SIGN($G32-$I32),1,0)+IF(J32=$G32,IF(L32=$I32,2,0),0))</f>
        <v/>
      </c>
      <c r="N32" s="3">
        <v>1</v>
      </c>
      <c r="O32" s="1" t="s">
        <v>1</v>
      </c>
      <c r="P32" s="7">
        <v>2</v>
      </c>
      <c r="Q32" s="9" t="str">
        <f t="shared" ref="Q32:Q36" si="25">IF(ISBLANK($G32)=TRUE,"",IF(SIGN(N32-P32)=SIGN($G32-$I32),1,0)+IF(N32=$G32,IF(P32=$I32,2,0),0))</f>
        <v/>
      </c>
      <c r="R32" s="3">
        <v>2</v>
      </c>
      <c r="S32" s="1" t="s">
        <v>1</v>
      </c>
      <c r="T32" s="7">
        <v>1</v>
      </c>
      <c r="U32" s="9" t="str">
        <f t="shared" ref="U32:U36" si="26">IF(ISBLANK($G32)=TRUE,"",IF(SIGN(R32-T32)=SIGN($G32-$I32),1,0)+IF(R32=$G32,IF(T32=$I32,2,0),0))</f>
        <v/>
      </c>
      <c r="V32" s="3"/>
      <c r="W32" s="1" t="s">
        <v>1</v>
      </c>
      <c r="X32" s="7"/>
      <c r="Y32" s="9" t="str">
        <f t="shared" ref="Y32:Y36" si="27">IF(ISBLANK($G32)=TRUE,"",IF(SIGN(V32-X32)=SIGN($G32-$I32),1,0)+IF(V32=$G32,IF(X32=$I32,2,0),0))</f>
        <v/>
      </c>
      <c r="Z32" s="3">
        <v>3</v>
      </c>
      <c r="AA32" s="1" t="s">
        <v>1</v>
      </c>
      <c r="AB32" s="7">
        <v>2</v>
      </c>
      <c r="AC32" s="9" t="str">
        <f t="shared" ref="AC32:AC36" si="28">IF(ISBLANK($G32)=TRUE,"",IF(SIGN(Z32-AB32)=SIGN($G32-$I32),1,0)+IF(Z32=$G32,IF(AB32=$I32,2,0),0))</f>
        <v/>
      </c>
      <c r="AD32" s="3">
        <v>1</v>
      </c>
      <c r="AE32" s="1" t="s">
        <v>1</v>
      </c>
      <c r="AF32" s="7">
        <v>1</v>
      </c>
      <c r="AG32" s="9" t="str">
        <f t="shared" ref="AG32:AG36" si="29">IF(ISBLANK($G32)=TRUE,"",IF(SIGN(AD32-AF32)=SIGN($G32-$I32),1,0)+IF(AD32=$G32,IF(AF32=$I32,2,0),0))</f>
        <v/>
      </c>
    </row>
    <row r="33" spans="2:33" x14ac:dyDescent="0.25">
      <c r="B33" s="12">
        <v>46193</v>
      </c>
      <c r="C33" s="7" t="s">
        <v>73</v>
      </c>
      <c r="D33" s="3" t="s">
        <v>27</v>
      </c>
      <c r="E33" s="1" t="s">
        <v>1</v>
      </c>
      <c r="F33" s="5" t="s">
        <v>29</v>
      </c>
      <c r="G33" s="3"/>
      <c r="H33" s="1" t="s">
        <v>1</v>
      </c>
      <c r="I33" s="5"/>
      <c r="J33" s="3">
        <v>2</v>
      </c>
      <c r="K33" s="1" t="s">
        <v>1</v>
      </c>
      <c r="L33" s="7">
        <v>0</v>
      </c>
      <c r="M33" s="9" t="str">
        <f t="shared" si="24"/>
        <v/>
      </c>
      <c r="N33" s="3">
        <v>2</v>
      </c>
      <c r="O33" s="1" t="s">
        <v>1</v>
      </c>
      <c r="P33" s="7">
        <v>1</v>
      </c>
      <c r="Q33" s="9" t="str">
        <f t="shared" si="25"/>
        <v/>
      </c>
      <c r="R33" s="3">
        <v>2</v>
      </c>
      <c r="S33" s="1" t="s">
        <v>1</v>
      </c>
      <c r="T33" s="7">
        <v>1</v>
      </c>
      <c r="U33" s="9" t="str">
        <f t="shared" si="26"/>
        <v/>
      </c>
      <c r="V33" s="3"/>
      <c r="W33" s="1" t="s">
        <v>1</v>
      </c>
      <c r="X33" s="7"/>
      <c r="Y33" s="9" t="str">
        <f t="shared" si="27"/>
        <v/>
      </c>
      <c r="Z33" s="3">
        <v>1</v>
      </c>
      <c r="AA33" s="1" t="s">
        <v>1</v>
      </c>
      <c r="AB33" s="7">
        <v>0</v>
      </c>
      <c r="AC33" s="9" t="str">
        <f t="shared" si="28"/>
        <v/>
      </c>
      <c r="AD33" s="3">
        <v>1</v>
      </c>
      <c r="AE33" s="1" t="s">
        <v>1</v>
      </c>
      <c r="AF33" s="7">
        <v>0</v>
      </c>
      <c r="AG33" s="9" t="str">
        <f t="shared" si="29"/>
        <v/>
      </c>
    </row>
    <row r="34" spans="2:33" x14ac:dyDescent="0.25">
      <c r="B34" s="12">
        <v>46194</v>
      </c>
      <c r="C34" s="7" t="s">
        <v>74</v>
      </c>
      <c r="D34" s="3" t="s">
        <v>30</v>
      </c>
      <c r="E34" s="1" t="s">
        <v>1</v>
      </c>
      <c r="F34" s="5" t="s">
        <v>28</v>
      </c>
      <c r="G34" s="3"/>
      <c r="H34" s="1" t="s">
        <v>1</v>
      </c>
      <c r="I34" s="5"/>
      <c r="J34" s="3">
        <v>3</v>
      </c>
      <c r="K34" s="1" t="s">
        <v>1</v>
      </c>
      <c r="L34" s="7">
        <v>0</v>
      </c>
      <c r="M34" s="9" t="str">
        <f t="shared" si="24"/>
        <v/>
      </c>
      <c r="N34" s="3">
        <v>3</v>
      </c>
      <c r="O34" s="1" t="s">
        <v>1</v>
      </c>
      <c r="P34" s="7">
        <v>0</v>
      </c>
      <c r="Q34" s="9" t="str">
        <f t="shared" si="25"/>
        <v/>
      </c>
      <c r="R34" s="3">
        <v>3</v>
      </c>
      <c r="S34" s="1" t="s">
        <v>1</v>
      </c>
      <c r="T34" s="7">
        <v>0</v>
      </c>
      <c r="U34" s="9" t="str">
        <f t="shared" si="26"/>
        <v/>
      </c>
      <c r="V34" s="3"/>
      <c r="W34" s="1" t="s">
        <v>1</v>
      </c>
      <c r="X34" s="7"/>
      <c r="Y34" s="9" t="str">
        <f t="shared" si="27"/>
        <v/>
      </c>
      <c r="Z34" s="3">
        <v>2</v>
      </c>
      <c r="AA34" s="1" t="s">
        <v>1</v>
      </c>
      <c r="AB34" s="7">
        <v>2</v>
      </c>
      <c r="AC34" s="9" t="str">
        <f t="shared" si="28"/>
        <v/>
      </c>
      <c r="AD34" s="3">
        <v>2</v>
      </c>
      <c r="AE34" s="1" t="s">
        <v>1</v>
      </c>
      <c r="AF34" s="7">
        <v>0</v>
      </c>
      <c r="AG34" s="9" t="str">
        <f t="shared" si="29"/>
        <v/>
      </c>
    </row>
    <row r="35" spans="2:33" x14ac:dyDescent="0.25">
      <c r="B35" s="12">
        <v>46198</v>
      </c>
      <c r="C35" s="7" t="s">
        <v>73</v>
      </c>
      <c r="D35" s="3" t="s">
        <v>28</v>
      </c>
      <c r="E35" s="1" t="s">
        <v>1</v>
      </c>
      <c r="F35" s="5" t="s">
        <v>29</v>
      </c>
      <c r="G35" s="3"/>
      <c r="H35" s="1" t="s">
        <v>1</v>
      </c>
      <c r="I35" s="5"/>
      <c r="J35" s="3">
        <v>0</v>
      </c>
      <c r="K35" s="1" t="s">
        <v>1</v>
      </c>
      <c r="L35" s="7">
        <v>2</v>
      </c>
      <c r="M35" s="9" t="str">
        <f t="shared" si="24"/>
        <v/>
      </c>
      <c r="N35" s="3">
        <v>0</v>
      </c>
      <c r="O35" s="1" t="s">
        <v>1</v>
      </c>
      <c r="P35" s="7">
        <v>3</v>
      </c>
      <c r="Q35" s="9" t="str">
        <f t="shared" si="25"/>
        <v/>
      </c>
      <c r="R35" s="3">
        <v>0</v>
      </c>
      <c r="S35" s="1" t="s">
        <v>1</v>
      </c>
      <c r="T35" s="7">
        <v>6</v>
      </c>
      <c r="U35" s="9" t="str">
        <f t="shared" si="26"/>
        <v/>
      </c>
      <c r="V35" s="3"/>
      <c r="W35" s="1" t="s">
        <v>1</v>
      </c>
      <c r="X35" s="7"/>
      <c r="Y35" s="9" t="str">
        <f t="shared" si="27"/>
        <v/>
      </c>
      <c r="Z35" s="3">
        <v>1</v>
      </c>
      <c r="AA35" s="1" t="s">
        <v>1</v>
      </c>
      <c r="AB35" s="7">
        <v>4</v>
      </c>
      <c r="AC35" s="9" t="str">
        <f t="shared" si="28"/>
        <v/>
      </c>
      <c r="AD35" s="3">
        <v>0</v>
      </c>
      <c r="AE35" s="1" t="s">
        <v>1</v>
      </c>
      <c r="AF35" s="7">
        <v>4</v>
      </c>
      <c r="AG35" s="9" t="str">
        <f t="shared" si="29"/>
        <v/>
      </c>
    </row>
    <row r="36" spans="2:33" ht="15.75" thickBot="1" x14ac:dyDescent="0.3">
      <c r="B36" s="13">
        <v>46198</v>
      </c>
      <c r="C36" s="8" t="s">
        <v>73</v>
      </c>
      <c r="D36" s="4" t="s">
        <v>30</v>
      </c>
      <c r="E36" s="2" t="s">
        <v>1</v>
      </c>
      <c r="F36" s="6" t="s">
        <v>27</v>
      </c>
      <c r="G36" s="4"/>
      <c r="H36" s="2" t="s">
        <v>1</v>
      </c>
      <c r="I36" s="6"/>
      <c r="J36" s="4">
        <v>1</v>
      </c>
      <c r="K36" s="2" t="s">
        <v>1</v>
      </c>
      <c r="L36" s="8">
        <v>2</v>
      </c>
      <c r="M36" s="10" t="str">
        <f t="shared" si="24"/>
        <v/>
      </c>
      <c r="N36" s="4">
        <v>1</v>
      </c>
      <c r="O36" s="2" t="s">
        <v>1</v>
      </c>
      <c r="P36" s="8">
        <v>2</v>
      </c>
      <c r="Q36" s="10" t="str">
        <f t="shared" si="25"/>
        <v/>
      </c>
      <c r="R36" s="4">
        <v>1</v>
      </c>
      <c r="S36" s="2" t="s">
        <v>1</v>
      </c>
      <c r="T36" s="8">
        <v>1</v>
      </c>
      <c r="U36" s="10" t="str">
        <f t="shared" si="26"/>
        <v/>
      </c>
      <c r="V36" s="4"/>
      <c r="W36" s="2" t="s">
        <v>1</v>
      </c>
      <c r="X36" s="8"/>
      <c r="Y36" s="10" t="str">
        <f t="shared" si="27"/>
        <v/>
      </c>
      <c r="Z36" s="4">
        <v>2</v>
      </c>
      <c r="AA36" s="2" t="s">
        <v>1</v>
      </c>
      <c r="AB36" s="8">
        <v>3</v>
      </c>
      <c r="AC36" s="10" t="str">
        <f t="shared" si="28"/>
        <v/>
      </c>
      <c r="AD36" s="4">
        <v>1</v>
      </c>
      <c r="AE36" s="2" t="s">
        <v>1</v>
      </c>
      <c r="AF36" s="8">
        <v>1</v>
      </c>
      <c r="AG36" s="10" t="str">
        <f t="shared" si="29"/>
        <v/>
      </c>
    </row>
    <row r="37" spans="2:33" ht="15.75" thickBot="1" x14ac:dyDescent="0.3">
      <c r="B37" s="70" t="s">
        <v>77</v>
      </c>
      <c r="C37" s="71" t="s">
        <v>78</v>
      </c>
      <c r="D37" s="102" t="s">
        <v>12</v>
      </c>
      <c r="E37" s="103"/>
      <c r="F37" s="104"/>
      <c r="G37" s="72" t="s">
        <v>7</v>
      </c>
      <c r="H37" s="73"/>
      <c r="I37" s="74"/>
      <c r="J37" s="34"/>
      <c r="K37" s="36"/>
      <c r="L37" s="36"/>
      <c r="M37" s="35"/>
      <c r="N37" s="44"/>
      <c r="O37" s="45"/>
      <c r="P37" s="45"/>
      <c r="Q37" s="46"/>
      <c r="R37" s="41"/>
      <c r="S37" s="42"/>
      <c r="T37" s="42"/>
      <c r="U37" s="43"/>
      <c r="V37" s="53"/>
      <c r="W37" s="54"/>
      <c r="X37" s="54"/>
      <c r="Y37" s="55"/>
      <c r="Z37" s="50"/>
      <c r="AA37" s="51"/>
      <c r="AB37" s="51"/>
      <c r="AC37" s="52"/>
      <c r="AD37" s="83"/>
      <c r="AE37" s="84"/>
      <c r="AF37" s="84"/>
      <c r="AG37" s="85"/>
    </row>
    <row r="38" spans="2:33" x14ac:dyDescent="0.25">
      <c r="B38" s="12">
        <v>46187</v>
      </c>
      <c r="C38" s="7" t="s">
        <v>73</v>
      </c>
      <c r="D38" s="3" t="s">
        <v>31</v>
      </c>
      <c r="E38" s="1" t="s">
        <v>1</v>
      </c>
      <c r="F38" s="5" t="s">
        <v>32</v>
      </c>
      <c r="G38" s="3"/>
      <c r="H38" s="1" t="s">
        <v>1</v>
      </c>
      <c r="I38" s="5"/>
      <c r="J38" s="3">
        <v>2</v>
      </c>
      <c r="K38" s="1" t="s">
        <v>1</v>
      </c>
      <c r="L38" s="7">
        <v>1</v>
      </c>
      <c r="M38" s="11" t="str">
        <f>IF(ISBLANK($I38)=TRUE,"",IF(SIGN(J38-L38)=SIGN($G38-$I38),1,0)+IF(J38=$G38,IF(L38=$I38,2,0),0))</f>
        <v/>
      </c>
      <c r="N38" s="3">
        <v>2</v>
      </c>
      <c r="O38" s="1" t="s">
        <v>1</v>
      </c>
      <c r="P38" s="7">
        <v>1</v>
      </c>
      <c r="Q38" s="11" t="str">
        <f>IF(ISBLANK($I38)=TRUE,"",IF(SIGN(N38-P38)=SIGN($G38-$I38),1,0)+IF(N38=$G38,IF(P38=$I38,2,0),0))</f>
        <v/>
      </c>
      <c r="R38" s="3">
        <v>2</v>
      </c>
      <c r="S38" s="1" t="s">
        <v>1</v>
      </c>
      <c r="T38" s="7">
        <v>2</v>
      </c>
      <c r="U38" s="11" t="str">
        <f>IF(ISBLANK($I38)=TRUE,"",IF(SIGN(R38-T38)=SIGN($G38-$I38),1,0)+IF(R38=$G38,IF(T38=$I38,2,0),0))</f>
        <v/>
      </c>
      <c r="V38" s="3"/>
      <c r="W38" s="1" t="s">
        <v>1</v>
      </c>
      <c r="X38" s="7"/>
      <c r="Y38" s="11" t="str">
        <f>IF(ISBLANK($I38)=TRUE,"",IF(SIGN(V38-X38)=SIGN($G38-$I38),1,0)+IF(V38=$G38,IF(X38=$I38,2,0),0))</f>
        <v/>
      </c>
      <c r="Z38" s="3">
        <v>1</v>
      </c>
      <c r="AA38" s="1" t="s">
        <v>1</v>
      </c>
      <c r="AB38" s="7">
        <v>1</v>
      </c>
      <c r="AC38" s="11" t="str">
        <f>IF(ISBLANK($I38)=TRUE,"",IF(SIGN(Z38-AB38)=SIGN($G38-$I38),1,0)+IF(Z38=$G38,IF(AB38=$I38,2,0),0))</f>
        <v/>
      </c>
      <c r="AD38" s="3">
        <v>1</v>
      </c>
      <c r="AE38" s="1" t="s">
        <v>1</v>
      </c>
      <c r="AF38" s="7">
        <v>1</v>
      </c>
      <c r="AG38" s="11" t="str">
        <f>IF(ISBLANK($I38)=TRUE,"",IF(SIGN(AD38-AF38)=SIGN($G38-$I38),1,0)+IF(AD38=$G38,IF(AF38=$I38,2,0),0))</f>
        <v/>
      </c>
    </row>
    <row r="39" spans="2:33" x14ac:dyDescent="0.25">
      <c r="B39" s="12">
        <v>46188</v>
      </c>
      <c r="C39" s="7" t="s">
        <v>64</v>
      </c>
      <c r="D39" s="3" t="s">
        <v>33</v>
      </c>
      <c r="E39" s="1" t="s">
        <v>1</v>
      </c>
      <c r="F39" s="5" t="s">
        <v>34</v>
      </c>
      <c r="G39" s="3"/>
      <c r="H39" s="1" t="s">
        <v>1</v>
      </c>
      <c r="I39" s="5"/>
      <c r="J39" s="3">
        <v>1</v>
      </c>
      <c r="K39" s="1" t="s">
        <v>1</v>
      </c>
      <c r="L39" s="7">
        <v>1</v>
      </c>
      <c r="M39" s="9" t="str">
        <f t="shared" ref="M39:M43" si="30">IF(ISBLANK($G39)=TRUE,"",IF(SIGN(J39-L39)=SIGN($G39-$I39),1,0)+IF(J39=$G39,IF(L39=$I39,2,0),0))</f>
        <v/>
      </c>
      <c r="N39" s="3">
        <v>2</v>
      </c>
      <c r="O39" s="1" t="s">
        <v>1</v>
      </c>
      <c r="P39" s="7">
        <v>0</v>
      </c>
      <c r="Q39" s="9" t="str">
        <f t="shared" ref="Q39:Q43" si="31">IF(ISBLANK($G39)=TRUE,"",IF(SIGN(N39-P39)=SIGN($G39-$I39),1,0)+IF(N39=$G39,IF(P39=$I39,2,0),0))</f>
        <v/>
      </c>
      <c r="R39" s="3">
        <v>2</v>
      </c>
      <c r="S39" s="1" t="s">
        <v>1</v>
      </c>
      <c r="T39" s="7">
        <v>0</v>
      </c>
      <c r="U39" s="9" t="str">
        <f t="shared" ref="U39:U43" si="32">IF(ISBLANK($G39)=TRUE,"",IF(SIGN(R39-T39)=SIGN($G39-$I39),1,0)+IF(R39=$G39,IF(T39=$I39,2,0),0))</f>
        <v/>
      </c>
      <c r="V39" s="3"/>
      <c r="W39" s="1" t="s">
        <v>1</v>
      </c>
      <c r="X39" s="7"/>
      <c r="Y39" s="9" t="str">
        <f t="shared" ref="Y39:Y43" si="33">IF(ISBLANK($G39)=TRUE,"",IF(SIGN(V39-X39)=SIGN($G39-$I39),1,0)+IF(V39=$G39,IF(X39=$I39,2,0),0))</f>
        <v/>
      </c>
      <c r="Z39" s="3">
        <v>0</v>
      </c>
      <c r="AA39" s="1" t="s">
        <v>1</v>
      </c>
      <c r="AB39" s="7">
        <v>2</v>
      </c>
      <c r="AC39" s="9" t="str">
        <f t="shared" ref="AC39:AC43" si="34">IF(ISBLANK($G39)=TRUE,"",IF(SIGN(Z39-AB39)=SIGN($G39-$I39),1,0)+IF(Z39=$G39,IF(AB39=$I39,2,0),0))</f>
        <v/>
      </c>
      <c r="AD39" s="3">
        <v>0</v>
      </c>
      <c r="AE39" s="1" t="s">
        <v>1</v>
      </c>
      <c r="AF39" s="7">
        <v>2</v>
      </c>
      <c r="AG39" s="9" t="str">
        <f t="shared" ref="AG39:AG43" si="35">IF(ISBLANK($G39)=TRUE,"",IF(SIGN(AD39-AF39)=SIGN($G39-$I39),1,0)+IF(AD39=$G39,IF(AF39=$I39,2,0),0))</f>
        <v/>
      </c>
    </row>
    <row r="40" spans="2:33" x14ac:dyDescent="0.25">
      <c r="B40" s="12">
        <v>46193</v>
      </c>
      <c r="C40" s="7" t="s">
        <v>71</v>
      </c>
      <c r="D40" s="3" t="s">
        <v>31</v>
      </c>
      <c r="E40" s="1" t="s">
        <v>1</v>
      </c>
      <c r="F40" s="5" t="s">
        <v>33</v>
      </c>
      <c r="G40" s="3"/>
      <c r="H40" s="1" t="s">
        <v>1</v>
      </c>
      <c r="I40" s="5"/>
      <c r="J40" s="3">
        <v>2</v>
      </c>
      <c r="K40" s="1" t="s">
        <v>1</v>
      </c>
      <c r="L40" s="7">
        <v>0</v>
      </c>
      <c r="M40" s="9" t="str">
        <f t="shared" si="30"/>
        <v/>
      </c>
      <c r="N40" s="3">
        <v>2</v>
      </c>
      <c r="O40" s="1" t="s">
        <v>1</v>
      </c>
      <c r="P40" s="7">
        <v>1</v>
      </c>
      <c r="Q40" s="9" t="str">
        <f t="shared" si="31"/>
        <v/>
      </c>
      <c r="R40" s="3">
        <v>3</v>
      </c>
      <c r="S40" s="1" t="s">
        <v>1</v>
      </c>
      <c r="T40" s="7">
        <v>1</v>
      </c>
      <c r="U40" s="9" t="str">
        <f t="shared" si="32"/>
        <v/>
      </c>
      <c r="V40" s="3"/>
      <c r="W40" s="1" t="s">
        <v>1</v>
      </c>
      <c r="X40" s="7"/>
      <c r="Y40" s="9" t="str">
        <f t="shared" si="33"/>
        <v/>
      </c>
      <c r="Z40" s="3">
        <v>3</v>
      </c>
      <c r="AA40" s="1" t="s">
        <v>1</v>
      </c>
      <c r="AB40" s="7">
        <v>1</v>
      </c>
      <c r="AC40" s="9" t="str">
        <f t="shared" si="34"/>
        <v/>
      </c>
      <c r="AD40" s="3">
        <v>2</v>
      </c>
      <c r="AE40" s="1" t="s">
        <v>1</v>
      </c>
      <c r="AF40" s="7">
        <v>0</v>
      </c>
      <c r="AG40" s="9" t="str">
        <f t="shared" si="35"/>
        <v/>
      </c>
    </row>
    <row r="41" spans="2:33" x14ac:dyDescent="0.25">
      <c r="B41" s="12">
        <v>46194</v>
      </c>
      <c r="C41" s="7" t="s">
        <v>69</v>
      </c>
      <c r="D41" s="3" t="s">
        <v>34</v>
      </c>
      <c r="E41" s="1" t="s">
        <v>1</v>
      </c>
      <c r="F41" s="5" t="s">
        <v>32</v>
      </c>
      <c r="G41" s="3"/>
      <c r="H41" s="1" t="s">
        <v>1</v>
      </c>
      <c r="I41" s="5"/>
      <c r="J41" s="3">
        <v>1</v>
      </c>
      <c r="K41" s="1" t="s">
        <v>1</v>
      </c>
      <c r="L41" s="7">
        <v>2</v>
      </c>
      <c r="M41" s="9" t="str">
        <f t="shared" si="30"/>
        <v/>
      </c>
      <c r="N41" s="3">
        <v>1</v>
      </c>
      <c r="O41" s="1" t="s">
        <v>1</v>
      </c>
      <c r="P41" s="7">
        <v>2</v>
      </c>
      <c r="Q41" s="9" t="str">
        <f t="shared" si="31"/>
        <v/>
      </c>
      <c r="R41" s="3">
        <v>1</v>
      </c>
      <c r="S41" s="1" t="s">
        <v>1</v>
      </c>
      <c r="T41" s="7">
        <v>2</v>
      </c>
      <c r="U41" s="9" t="str">
        <f t="shared" si="32"/>
        <v/>
      </c>
      <c r="V41" s="3"/>
      <c r="W41" s="1" t="s">
        <v>1</v>
      </c>
      <c r="X41" s="7"/>
      <c r="Y41" s="9" t="str">
        <f t="shared" si="33"/>
        <v/>
      </c>
      <c r="Z41" s="3">
        <v>0</v>
      </c>
      <c r="AA41" s="1" t="s">
        <v>1</v>
      </c>
      <c r="AB41" s="7">
        <v>0</v>
      </c>
      <c r="AC41" s="9" t="str">
        <f t="shared" si="34"/>
        <v/>
      </c>
      <c r="AD41" s="3">
        <v>2</v>
      </c>
      <c r="AE41" s="1" t="s">
        <v>1</v>
      </c>
      <c r="AF41" s="7">
        <v>2</v>
      </c>
      <c r="AG41" s="9" t="str">
        <f t="shared" si="35"/>
        <v/>
      </c>
    </row>
    <row r="42" spans="2:33" x14ac:dyDescent="0.25">
      <c r="B42" s="12">
        <v>46199</v>
      </c>
      <c r="C42" s="7" t="s">
        <v>72</v>
      </c>
      <c r="D42" s="3" t="s">
        <v>32</v>
      </c>
      <c r="E42" s="1" t="s">
        <v>1</v>
      </c>
      <c r="F42" s="5" t="s">
        <v>33</v>
      </c>
      <c r="G42" s="3"/>
      <c r="H42" s="1" t="s">
        <v>1</v>
      </c>
      <c r="I42" s="5"/>
      <c r="J42" s="3">
        <v>2</v>
      </c>
      <c r="K42" s="1" t="s">
        <v>1</v>
      </c>
      <c r="L42" s="7">
        <v>1</v>
      </c>
      <c r="M42" s="9" t="str">
        <f t="shared" si="30"/>
        <v/>
      </c>
      <c r="N42" s="3">
        <v>1</v>
      </c>
      <c r="O42" s="1" t="s">
        <v>1</v>
      </c>
      <c r="P42" s="7">
        <v>2</v>
      </c>
      <c r="Q42" s="9" t="str">
        <f t="shared" si="31"/>
        <v/>
      </c>
      <c r="R42" s="3">
        <v>2</v>
      </c>
      <c r="S42" s="1" t="s">
        <v>1</v>
      </c>
      <c r="T42" s="7">
        <v>0</v>
      </c>
      <c r="U42" s="9" t="str">
        <f t="shared" si="32"/>
        <v/>
      </c>
      <c r="V42" s="3"/>
      <c r="W42" s="1" t="s">
        <v>1</v>
      </c>
      <c r="X42" s="7"/>
      <c r="Y42" s="9" t="str">
        <f t="shared" si="33"/>
        <v/>
      </c>
      <c r="Z42" s="3">
        <v>2</v>
      </c>
      <c r="AA42" s="1" t="s">
        <v>1</v>
      </c>
      <c r="AB42" s="7">
        <v>0</v>
      </c>
      <c r="AC42" s="9" t="str">
        <f t="shared" si="34"/>
        <v/>
      </c>
      <c r="AD42" s="3">
        <v>1</v>
      </c>
      <c r="AE42" s="1" t="s">
        <v>1</v>
      </c>
      <c r="AF42" s="7">
        <v>0</v>
      </c>
      <c r="AG42" s="9" t="str">
        <f t="shared" si="35"/>
        <v/>
      </c>
    </row>
    <row r="43" spans="2:33" ht="15.75" thickBot="1" x14ac:dyDescent="0.3">
      <c r="B43" s="13">
        <v>46199</v>
      </c>
      <c r="C43" s="8" t="s">
        <v>72</v>
      </c>
      <c r="D43" s="4" t="s">
        <v>34</v>
      </c>
      <c r="E43" s="2" t="s">
        <v>1</v>
      </c>
      <c r="F43" s="6" t="s">
        <v>31</v>
      </c>
      <c r="G43" s="4"/>
      <c r="H43" s="2" t="s">
        <v>1</v>
      </c>
      <c r="I43" s="6"/>
      <c r="J43" s="4">
        <v>0</v>
      </c>
      <c r="K43" s="2" t="s">
        <v>1</v>
      </c>
      <c r="L43" s="8">
        <v>2</v>
      </c>
      <c r="M43" s="10" t="str">
        <f t="shared" si="30"/>
        <v/>
      </c>
      <c r="N43" s="4">
        <v>0</v>
      </c>
      <c r="O43" s="2" t="s">
        <v>1</v>
      </c>
      <c r="P43" s="8">
        <v>3</v>
      </c>
      <c r="Q43" s="10" t="str">
        <f t="shared" si="31"/>
        <v/>
      </c>
      <c r="R43" s="4">
        <v>1</v>
      </c>
      <c r="S43" s="2" t="s">
        <v>1</v>
      </c>
      <c r="T43" s="8">
        <v>3</v>
      </c>
      <c r="U43" s="10" t="str">
        <f t="shared" si="32"/>
        <v/>
      </c>
      <c r="V43" s="4"/>
      <c r="W43" s="2" t="s">
        <v>1</v>
      </c>
      <c r="X43" s="8"/>
      <c r="Y43" s="10" t="str">
        <f t="shared" si="33"/>
        <v/>
      </c>
      <c r="Z43" s="4">
        <v>2</v>
      </c>
      <c r="AA43" s="2" t="s">
        <v>1</v>
      </c>
      <c r="AB43" s="8">
        <v>2</v>
      </c>
      <c r="AC43" s="10" t="str">
        <f t="shared" si="34"/>
        <v/>
      </c>
      <c r="AD43" s="4">
        <v>1</v>
      </c>
      <c r="AE43" s="2" t="s">
        <v>1</v>
      </c>
      <c r="AF43" s="8">
        <v>1</v>
      </c>
      <c r="AG43" s="10" t="str">
        <f t="shared" si="35"/>
        <v/>
      </c>
    </row>
    <row r="44" spans="2:33" ht="15.75" thickBot="1" x14ac:dyDescent="0.3">
      <c r="B44" s="70" t="s">
        <v>77</v>
      </c>
      <c r="C44" s="71" t="s">
        <v>78</v>
      </c>
      <c r="D44" s="102" t="s">
        <v>13</v>
      </c>
      <c r="E44" s="103"/>
      <c r="F44" s="104"/>
      <c r="G44" s="72" t="s">
        <v>7</v>
      </c>
      <c r="H44" s="73"/>
      <c r="I44" s="74"/>
      <c r="J44" s="34"/>
      <c r="K44" s="36"/>
      <c r="L44" s="36"/>
      <c r="M44" s="35"/>
      <c r="N44" s="44"/>
      <c r="O44" s="45"/>
      <c r="P44" s="45"/>
      <c r="Q44" s="46"/>
      <c r="R44" s="41"/>
      <c r="S44" s="42"/>
      <c r="T44" s="42"/>
      <c r="U44" s="43"/>
      <c r="V44" s="53"/>
      <c r="W44" s="54"/>
      <c r="X44" s="54"/>
      <c r="Y44" s="55"/>
      <c r="Z44" s="50"/>
      <c r="AA44" s="51"/>
      <c r="AB44" s="51"/>
      <c r="AC44" s="52"/>
      <c r="AD44" s="83"/>
      <c r="AE44" s="84"/>
      <c r="AF44" s="84"/>
      <c r="AG44" s="85"/>
    </row>
    <row r="45" spans="2:33" x14ac:dyDescent="0.25">
      <c r="B45" s="12">
        <v>46188</v>
      </c>
      <c r="C45" s="7" t="s">
        <v>63</v>
      </c>
      <c r="D45" s="3" t="s">
        <v>35</v>
      </c>
      <c r="E45" s="1" t="s">
        <v>1</v>
      </c>
      <c r="F45" s="5" t="s">
        <v>36</v>
      </c>
      <c r="G45" s="3"/>
      <c r="H45" s="1" t="s">
        <v>1</v>
      </c>
      <c r="I45" s="5"/>
      <c r="J45" s="3">
        <v>2</v>
      </c>
      <c r="K45" s="1" t="s">
        <v>1</v>
      </c>
      <c r="L45" s="7">
        <v>1</v>
      </c>
      <c r="M45" s="11" t="str">
        <f>IF(ISBLANK($I45)=TRUE,"",IF(SIGN(J45-L45)=SIGN($G45-$I45),1,0)+IF(J45=$G45,IF(L45=$I45,2,0),0))</f>
        <v/>
      </c>
      <c r="N45" s="3">
        <v>2</v>
      </c>
      <c r="O45" s="1" t="s">
        <v>1</v>
      </c>
      <c r="P45" s="7">
        <v>0</v>
      </c>
      <c r="Q45" s="11" t="str">
        <f>IF(ISBLANK($I45)=TRUE,"",IF(SIGN(N45-P45)=SIGN($G45-$I45),1,0)+IF(N45=$G45,IF(P45=$I45,2,0),0))</f>
        <v/>
      </c>
      <c r="R45" s="3">
        <v>1</v>
      </c>
      <c r="S45" s="1" t="s">
        <v>1</v>
      </c>
      <c r="T45" s="7">
        <v>2</v>
      </c>
      <c r="U45" s="11" t="str">
        <f>IF(ISBLANK($I45)=TRUE,"",IF(SIGN(R45-T45)=SIGN($G45-$I45),1,0)+IF(R45=$G45,IF(T45=$I45,2,0),0))</f>
        <v/>
      </c>
      <c r="V45" s="3"/>
      <c r="W45" s="1" t="s">
        <v>1</v>
      </c>
      <c r="X45" s="7"/>
      <c r="Y45" s="11" t="str">
        <f>IF(ISBLANK($I45)=TRUE,"",IF(SIGN(V45-X45)=SIGN($G45-$I45),1,0)+IF(V45=$G45,IF(X45=$I45,2,0),0))</f>
        <v/>
      </c>
      <c r="Z45" s="3">
        <v>4</v>
      </c>
      <c r="AA45" s="1" t="s">
        <v>1</v>
      </c>
      <c r="AB45" s="7">
        <v>2</v>
      </c>
      <c r="AC45" s="11" t="str">
        <f>IF(ISBLANK($I45)=TRUE,"",IF(SIGN(Z45-AB45)=SIGN($G45-$I45),1,0)+IF(Z45=$G45,IF(AB45=$I45,2,0),0))</f>
        <v/>
      </c>
      <c r="AD45" s="3">
        <v>3</v>
      </c>
      <c r="AE45" s="1" t="s">
        <v>1</v>
      </c>
      <c r="AF45" s="7">
        <v>1</v>
      </c>
      <c r="AG45" s="11" t="str">
        <f>IF(ISBLANK($I45)=TRUE,"",IF(SIGN(AD45-AF45)=SIGN($G45-$I45),1,0)+IF(AD45=$G45,IF(AF45=$I45,2,0),0))</f>
        <v/>
      </c>
    </row>
    <row r="46" spans="2:33" x14ac:dyDescent="0.25">
      <c r="B46" s="12">
        <v>46189</v>
      </c>
      <c r="C46" s="7" t="s">
        <v>66</v>
      </c>
      <c r="D46" s="3" t="s">
        <v>37</v>
      </c>
      <c r="E46" s="1" t="s">
        <v>1</v>
      </c>
      <c r="F46" s="5" t="s">
        <v>38</v>
      </c>
      <c r="G46" s="3"/>
      <c r="H46" s="1" t="s">
        <v>1</v>
      </c>
      <c r="I46" s="5"/>
      <c r="J46" s="3">
        <v>0</v>
      </c>
      <c r="K46" s="1" t="s">
        <v>1</v>
      </c>
      <c r="L46" s="7">
        <v>0</v>
      </c>
      <c r="M46" s="9" t="str">
        <f t="shared" ref="M46:M50" si="36">IF(ISBLANK($G46)=TRUE,"",IF(SIGN(J46-L46)=SIGN($G46-$I46),1,0)+IF(J46=$G46,IF(L46=$I46,2,0),0))</f>
        <v/>
      </c>
      <c r="N46" s="3">
        <v>1</v>
      </c>
      <c r="O46" s="1" t="s">
        <v>1</v>
      </c>
      <c r="P46" s="7">
        <v>1</v>
      </c>
      <c r="Q46" s="9" t="str">
        <f t="shared" ref="Q46:Q50" si="37">IF(ISBLANK($G46)=TRUE,"",IF(SIGN(N46-P46)=SIGN($G46-$I46),1,0)+IF(N46=$G46,IF(P46=$I46,2,0),0))</f>
        <v/>
      </c>
      <c r="R46" s="3">
        <v>1</v>
      </c>
      <c r="S46" s="1" t="s">
        <v>1</v>
      </c>
      <c r="T46" s="7">
        <v>1</v>
      </c>
      <c r="U46" s="9" t="str">
        <f t="shared" ref="U46:U50" si="38">IF(ISBLANK($G46)=TRUE,"",IF(SIGN(R46-T46)=SIGN($G46-$I46),1,0)+IF(R46=$G46,IF(T46=$I46,2,0),0))</f>
        <v/>
      </c>
      <c r="V46" s="3"/>
      <c r="W46" s="1" t="s">
        <v>1</v>
      </c>
      <c r="X46" s="7"/>
      <c r="Y46" s="9" t="str">
        <f t="shared" ref="Y46:Y50" si="39">IF(ISBLANK($G46)=TRUE,"",IF(SIGN(V46-X46)=SIGN($G46-$I46),1,0)+IF(V46=$G46,IF(X46=$I46,2,0),0))</f>
        <v/>
      </c>
      <c r="Z46" s="3">
        <v>0</v>
      </c>
      <c r="AA46" s="1" t="s">
        <v>1</v>
      </c>
      <c r="AB46" s="7">
        <v>3</v>
      </c>
      <c r="AC46" s="9" t="str">
        <f t="shared" ref="AC46:AC50" si="40">IF(ISBLANK($G46)=TRUE,"",IF(SIGN(Z46-AB46)=SIGN($G46-$I46),1,0)+IF(Z46=$G46,IF(AB46=$I46,2,0),0))</f>
        <v/>
      </c>
      <c r="AD46" s="3">
        <v>2</v>
      </c>
      <c r="AE46" s="1" t="s">
        <v>1</v>
      </c>
      <c r="AF46" s="7">
        <v>0</v>
      </c>
      <c r="AG46" s="9" t="str">
        <f t="shared" ref="AG46:AG50" si="41">IF(ISBLANK($G46)=TRUE,"",IF(SIGN(AD46-AF46)=SIGN($G46-$I46),1,0)+IF(AD46=$G46,IF(AF46=$I46,2,0),0))</f>
        <v/>
      </c>
    </row>
    <row r="47" spans="2:33" x14ac:dyDescent="0.25">
      <c r="B47" s="12">
        <v>46194</v>
      </c>
      <c r="C47" s="7" t="s">
        <v>63</v>
      </c>
      <c r="D47" s="3" t="s">
        <v>35</v>
      </c>
      <c r="E47" s="1" t="s">
        <v>1</v>
      </c>
      <c r="F47" s="5" t="s">
        <v>37</v>
      </c>
      <c r="G47" s="3"/>
      <c r="H47" s="1" t="s">
        <v>1</v>
      </c>
      <c r="I47" s="5"/>
      <c r="J47" s="3">
        <v>2</v>
      </c>
      <c r="K47" s="1" t="s">
        <v>1</v>
      </c>
      <c r="L47" s="7">
        <v>0</v>
      </c>
      <c r="M47" s="9" t="str">
        <f t="shared" si="36"/>
        <v/>
      </c>
      <c r="N47" s="3">
        <v>2</v>
      </c>
      <c r="O47" s="1" t="s">
        <v>1</v>
      </c>
      <c r="P47" s="7">
        <v>1</v>
      </c>
      <c r="Q47" s="9" t="str">
        <f t="shared" si="37"/>
        <v/>
      </c>
      <c r="R47" s="3">
        <v>2</v>
      </c>
      <c r="S47" s="1" t="s">
        <v>1</v>
      </c>
      <c r="T47" s="7">
        <v>0</v>
      </c>
      <c r="U47" s="9" t="str">
        <f t="shared" si="38"/>
        <v/>
      </c>
      <c r="V47" s="3"/>
      <c r="W47" s="1" t="s">
        <v>1</v>
      </c>
      <c r="X47" s="7"/>
      <c r="Y47" s="9" t="str">
        <f t="shared" si="39"/>
        <v/>
      </c>
      <c r="Z47" s="3">
        <v>3</v>
      </c>
      <c r="AA47" s="1" t="s">
        <v>1</v>
      </c>
      <c r="AB47" s="7">
        <v>0</v>
      </c>
      <c r="AC47" s="9" t="str">
        <f t="shared" si="40"/>
        <v/>
      </c>
      <c r="AD47" s="3">
        <v>2</v>
      </c>
      <c r="AE47" s="1" t="s">
        <v>1</v>
      </c>
      <c r="AF47" s="7">
        <v>0</v>
      </c>
      <c r="AG47" s="9" t="str">
        <f t="shared" si="41"/>
        <v/>
      </c>
    </row>
    <row r="48" spans="2:33" x14ac:dyDescent="0.25">
      <c r="B48" s="12">
        <v>46195</v>
      </c>
      <c r="C48" s="7" t="s">
        <v>66</v>
      </c>
      <c r="D48" s="3" t="s">
        <v>38</v>
      </c>
      <c r="E48" s="1" t="s">
        <v>1</v>
      </c>
      <c r="F48" s="5" t="s">
        <v>36</v>
      </c>
      <c r="G48" s="3"/>
      <c r="H48" s="1" t="s">
        <v>1</v>
      </c>
      <c r="I48" s="5"/>
      <c r="J48" s="3">
        <v>1</v>
      </c>
      <c r="K48" s="1" t="s">
        <v>1</v>
      </c>
      <c r="L48" s="7">
        <v>2</v>
      </c>
      <c r="M48" s="9" t="str">
        <f t="shared" si="36"/>
        <v/>
      </c>
      <c r="N48" s="3">
        <v>0</v>
      </c>
      <c r="O48" s="1" t="s">
        <v>1</v>
      </c>
      <c r="P48" s="7">
        <v>2</v>
      </c>
      <c r="Q48" s="9" t="str">
        <f t="shared" si="37"/>
        <v/>
      </c>
      <c r="R48" s="3">
        <v>0</v>
      </c>
      <c r="S48" s="1" t="s">
        <v>1</v>
      </c>
      <c r="T48" s="7">
        <v>2</v>
      </c>
      <c r="U48" s="9" t="str">
        <f t="shared" si="38"/>
        <v/>
      </c>
      <c r="V48" s="3"/>
      <c r="W48" s="1" t="s">
        <v>1</v>
      </c>
      <c r="X48" s="7"/>
      <c r="Y48" s="9" t="str">
        <f t="shared" si="39"/>
        <v/>
      </c>
      <c r="Z48" s="3">
        <v>1</v>
      </c>
      <c r="AA48" s="1" t="s">
        <v>1</v>
      </c>
      <c r="AB48" s="7">
        <v>0</v>
      </c>
      <c r="AC48" s="9" t="str">
        <f t="shared" si="40"/>
        <v/>
      </c>
      <c r="AD48" s="3">
        <v>0</v>
      </c>
      <c r="AE48" s="1" t="s">
        <v>1</v>
      </c>
      <c r="AF48" s="7">
        <v>1</v>
      </c>
      <c r="AG48" s="9" t="str">
        <f t="shared" si="41"/>
        <v/>
      </c>
    </row>
    <row r="49" spans="2:33" x14ac:dyDescent="0.25">
      <c r="B49" s="12">
        <v>46200</v>
      </c>
      <c r="C49" s="7" t="s">
        <v>70</v>
      </c>
      <c r="D49" s="3" t="s">
        <v>36</v>
      </c>
      <c r="E49" s="1" t="s">
        <v>1</v>
      </c>
      <c r="F49" s="5" t="s">
        <v>37</v>
      </c>
      <c r="G49" s="3"/>
      <c r="H49" s="1" t="s">
        <v>1</v>
      </c>
      <c r="I49" s="5"/>
      <c r="J49" s="3">
        <v>2</v>
      </c>
      <c r="K49" s="1" t="s">
        <v>1</v>
      </c>
      <c r="L49" s="7">
        <v>1</v>
      </c>
      <c r="M49" s="9" t="str">
        <f t="shared" si="36"/>
        <v/>
      </c>
      <c r="N49" s="3">
        <v>1</v>
      </c>
      <c r="O49" s="1" t="s">
        <v>1</v>
      </c>
      <c r="P49" s="7">
        <v>1</v>
      </c>
      <c r="Q49" s="9" t="str">
        <f t="shared" si="37"/>
        <v/>
      </c>
      <c r="R49" s="3">
        <v>1</v>
      </c>
      <c r="S49" s="1" t="s">
        <v>1</v>
      </c>
      <c r="T49" s="7">
        <v>1</v>
      </c>
      <c r="U49" s="9" t="str">
        <f t="shared" si="38"/>
        <v/>
      </c>
      <c r="V49" s="3"/>
      <c r="W49" s="1" t="s">
        <v>1</v>
      </c>
      <c r="X49" s="7"/>
      <c r="Y49" s="9" t="str">
        <f t="shared" si="39"/>
        <v/>
      </c>
      <c r="Z49" s="3">
        <v>0</v>
      </c>
      <c r="AA49" s="1" t="s">
        <v>1</v>
      </c>
      <c r="AB49" s="7">
        <v>0</v>
      </c>
      <c r="AC49" s="9" t="str">
        <f t="shared" si="40"/>
        <v/>
      </c>
      <c r="AD49" s="3">
        <v>2</v>
      </c>
      <c r="AE49" s="1" t="s">
        <v>1</v>
      </c>
      <c r="AF49" s="7">
        <v>2</v>
      </c>
      <c r="AG49" s="9" t="str">
        <f t="shared" si="41"/>
        <v/>
      </c>
    </row>
    <row r="50" spans="2:33" ht="15.75" thickBot="1" x14ac:dyDescent="0.3">
      <c r="B50" s="13">
        <v>46200</v>
      </c>
      <c r="C50" s="8" t="s">
        <v>70</v>
      </c>
      <c r="D50" s="4" t="s">
        <v>38</v>
      </c>
      <c r="E50" s="2" t="s">
        <v>1</v>
      </c>
      <c r="F50" s="6" t="s">
        <v>35</v>
      </c>
      <c r="G50" s="4"/>
      <c r="H50" s="2" t="s">
        <v>1</v>
      </c>
      <c r="I50" s="6"/>
      <c r="J50" s="4">
        <v>0</v>
      </c>
      <c r="K50" s="2" t="s">
        <v>1</v>
      </c>
      <c r="L50" s="8">
        <v>2</v>
      </c>
      <c r="M50" s="10" t="str">
        <f t="shared" si="36"/>
        <v/>
      </c>
      <c r="N50" s="4">
        <v>0</v>
      </c>
      <c r="O50" s="2" t="s">
        <v>1</v>
      </c>
      <c r="P50" s="8">
        <v>2</v>
      </c>
      <c r="Q50" s="10" t="str">
        <f t="shared" si="37"/>
        <v/>
      </c>
      <c r="R50" s="4">
        <v>1</v>
      </c>
      <c r="S50" s="2" t="s">
        <v>1</v>
      </c>
      <c r="T50" s="8">
        <v>2</v>
      </c>
      <c r="U50" s="10" t="str">
        <f t="shared" si="38"/>
        <v/>
      </c>
      <c r="V50" s="4"/>
      <c r="W50" s="2" t="s">
        <v>1</v>
      </c>
      <c r="X50" s="8"/>
      <c r="Y50" s="10" t="str">
        <f t="shared" si="39"/>
        <v/>
      </c>
      <c r="Z50" s="4">
        <v>2</v>
      </c>
      <c r="AA50" s="2" t="s">
        <v>1</v>
      </c>
      <c r="AB50" s="8">
        <v>2</v>
      </c>
      <c r="AC50" s="10" t="str">
        <f t="shared" si="40"/>
        <v/>
      </c>
      <c r="AD50" s="4">
        <v>0</v>
      </c>
      <c r="AE50" s="2" t="s">
        <v>1</v>
      </c>
      <c r="AF50" s="8">
        <v>2</v>
      </c>
      <c r="AG50" s="10" t="str">
        <f t="shared" si="41"/>
        <v/>
      </c>
    </row>
    <row r="51" spans="2:33" ht="15.75" thickBot="1" x14ac:dyDescent="0.3">
      <c r="B51" s="70" t="s">
        <v>77</v>
      </c>
      <c r="C51" s="71" t="s">
        <v>78</v>
      </c>
      <c r="D51" s="102" t="s">
        <v>14</v>
      </c>
      <c r="E51" s="103"/>
      <c r="F51" s="104"/>
      <c r="G51" s="72" t="s">
        <v>7</v>
      </c>
      <c r="H51" s="73"/>
      <c r="I51" s="74"/>
      <c r="J51" s="34"/>
      <c r="K51" s="36"/>
      <c r="L51" s="36"/>
      <c r="M51" s="35"/>
      <c r="N51" s="44"/>
      <c r="O51" s="45"/>
      <c r="P51" s="45"/>
      <c r="Q51" s="46"/>
      <c r="R51" s="41"/>
      <c r="S51" s="42"/>
      <c r="T51" s="42"/>
      <c r="U51" s="43"/>
      <c r="V51" s="53"/>
      <c r="W51" s="54"/>
      <c r="X51" s="54"/>
      <c r="Y51" s="55"/>
      <c r="Z51" s="50"/>
      <c r="AA51" s="51"/>
      <c r="AB51" s="51"/>
      <c r="AC51" s="52"/>
      <c r="AD51" s="83"/>
      <c r="AE51" s="84"/>
      <c r="AF51" s="84"/>
      <c r="AG51" s="85"/>
    </row>
    <row r="52" spans="2:33" x14ac:dyDescent="0.25">
      <c r="B52" s="12">
        <v>46188</v>
      </c>
      <c r="C52" s="7" t="s">
        <v>65</v>
      </c>
      <c r="D52" s="3" t="s">
        <v>39</v>
      </c>
      <c r="E52" s="1" t="s">
        <v>1</v>
      </c>
      <c r="F52" s="5" t="s">
        <v>40</v>
      </c>
      <c r="G52" s="3"/>
      <c r="H52" s="1" t="s">
        <v>1</v>
      </c>
      <c r="I52" s="5"/>
      <c r="J52" s="3">
        <v>5</v>
      </c>
      <c r="K52" s="1" t="s">
        <v>1</v>
      </c>
      <c r="L52" s="7">
        <v>0</v>
      </c>
      <c r="M52" s="11" t="str">
        <f>IF(ISBLANK($I52)=TRUE,"",IF(SIGN(J52-L52)=SIGN($G52-$I52),1,0)+IF(J52=$G52,IF(L52=$I52,2,0),0))</f>
        <v/>
      </c>
      <c r="N52" s="3">
        <v>3</v>
      </c>
      <c r="O52" s="1" t="s">
        <v>1</v>
      </c>
      <c r="P52" s="7">
        <v>0</v>
      </c>
      <c r="Q52" s="11" t="str">
        <f>IF(ISBLANK($I52)=TRUE,"",IF(SIGN(N52-P52)=SIGN($G52-$I52),1,0)+IF(N52=$G52,IF(P52=$I52,2,0),0))</f>
        <v/>
      </c>
      <c r="R52" s="3">
        <v>5</v>
      </c>
      <c r="S52" s="1" t="s">
        <v>1</v>
      </c>
      <c r="T52" s="7">
        <v>0</v>
      </c>
      <c r="U52" s="11" t="str">
        <f>IF(ISBLANK($I52)=TRUE,"",IF(SIGN(R52-T52)=SIGN($G52-$I52),1,0)+IF(R52=$G52,IF(T52=$I52,2,0),0))</f>
        <v/>
      </c>
      <c r="V52" s="3"/>
      <c r="W52" s="1" t="s">
        <v>1</v>
      </c>
      <c r="X52" s="7"/>
      <c r="Y52" s="11" t="str">
        <f>IF(ISBLANK($I52)=TRUE,"",IF(SIGN(V52-X52)=SIGN($G52-$I52),1,0)+IF(V52=$G52,IF(X52=$I52,2,0),0))</f>
        <v/>
      </c>
      <c r="Z52" s="3">
        <v>3</v>
      </c>
      <c r="AA52" s="1" t="s">
        <v>1</v>
      </c>
      <c r="AB52" s="7">
        <v>1</v>
      </c>
      <c r="AC52" s="11" t="str">
        <f>IF(ISBLANK($I52)=TRUE,"",IF(SIGN(Z52-AB52)=SIGN($G52-$I52),1,0)+IF(Z52=$G52,IF(AB52=$I52,2,0),0))</f>
        <v/>
      </c>
      <c r="AD52" s="3">
        <v>3</v>
      </c>
      <c r="AE52" s="1" t="s">
        <v>1</v>
      </c>
      <c r="AF52" s="7">
        <v>0</v>
      </c>
      <c r="AG52" s="11" t="str">
        <f>IF(ISBLANK($I52)=TRUE,"",IF(SIGN(AD52-AF52)=SIGN($G52-$I52),1,0)+IF(AD52=$G52,IF(AF52=$I52,2,0),0))</f>
        <v/>
      </c>
    </row>
    <row r="53" spans="2:33" x14ac:dyDescent="0.25">
      <c r="B53" s="12">
        <v>46189</v>
      </c>
      <c r="C53" s="7" t="s">
        <v>67</v>
      </c>
      <c r="D53" s="3" t="s">
        <v>41</v>
      </c>
      <c r="E53" s="1" t="s">
        <v>1</v>
      </c>
      <c r="F53" s="5" t="s">
        <v>42</v>
      </c>
      <c r="G53" s="3"/>
      <c r="H53" s="1" t="s">
        <v>1</v>
      </c>
      <c r="I53" s="5"/>
      <c r="J53" s="3">
        <v>0</v>
      </c>
      <c r="K53" s="1" t="s">
        <v>1</v>
      </c>
      <c r="L53" s="7">
        <v>2</v>
      </c>
      <c r="M53" s="9" t="str">
        <f t="shared" ref="M53:M57" si="42">IF(ISBLANK($G53)=TRUE,"",IF(SIGN(J53-L53)=SIGN($G53-$I53),1,0)+IF(J53=$G53,IF(L53=$I53,2,0),0))</f>
        <v/>
      </c>
      <c r="N53" s="3">
        <v>1</v>
      </c>
      <c r="O53" s="1" t="s">
        <v>1</v>
      </c>
      <c r="P53" s="7">
        <v>2</v>
      </c>
      <c r="Q53" s="9" t="str">
        <f t="shared" ref="Q53:Q57" si="43">IF(ISBLANK($G53)=TRUE,"",IF(SIGN(N53-P53)=SIGN($G53-$I53),1,0)+IF(N53=$G53,IF(P53=$I53,2,0),0))</f>
        <v/>
      </c>
      <c r="R53" s="3">
        <v>1</v>
      </c>
      <c r="S53" s="1" t="s">
        <v>1</v>
      </c>
      <c r="T53" s="7">
        <v>2</v>
      </c>
      <c r="U53" s="9" t="str">
        <f t="shared" ref="U53:U57" si="44">IF(ISBLANK($G53)=TRUE,"",IF(SIGN(R53-T53)=SIGN($G53-$I53),1,0)+IF(R53=$G53,IF(T53=$I53,2,0),0))</f>
        <v/>
      </c>
      <c r="V53" s="3"/>
      <c r="W53" s="1" t="s">
        <v>1</v>
      </c>
      <c r="X53" s="7"/>
      <c r="Y53" s="9" t="str">
        <f t="shared" ref="Y53:Y57" si="45">IF(ISBLANK($G53)=TRUE,"",IF(SIGN(V53-X53)=SIGN($G53-$I53),1,0)+IF(V53=$G53,IF(X53=$I53,2,0),0))</f>
        <v/>
      </c>
      <c r="Z53" s="3">
        <v>0</v>
      </c>
      <c r="AA53" s="1" t="s">
        <v>1</v>
      </c>
      <c r="AB53" s="7">
        <v>1</v>
      </c>
      <c r="AC53" s="9" t="str">
        <f t="shared" ref="AC53:AC57" si="46">IF(ISBLANK($G53)=TRUE,"",IF(SIGN(Z53-AB53)=SIGN($G53-$I53),1,0)+IF(Z53=$G53,IF(AB53=$I53,2,0),0))</f>
        <v/>
      </c>
      <c r="AD53" s="3">
        <v>0</v>
      </c>
      <c r="AE53" s="1" t="s">
        <v>1</v>
      </c>
      <c r="AF53" s="7">
        <v>2</v>
      </c>
      <c r="AG53" s="9" t="str">
        <f t="shared" ref="AG53:AG57" si="47">IF(ISBLANK($G53)=TRUE,"",IF(SIGN(AD53-AF53)=SIGN($G53-$I53),1,0)+IF(AD53=$G53,IF(AF53=$I53,2,0),0))</f>
        <v/>
      </c>
    </row>
    <row r="54" spans="2:33" x14ac:dyDescent="0.25">
      <c r="B54" s="12">
        <v>46194</v>
      </c>
      <c r="C54" s="7" t="s">
        <v>65</v>
      </c>
      <c r="D54" s="3" t="s">
        <v>39</v>
      </c>
      <c r="E54" s="1" t="s">
        <v>1</v>
      </c>
      <c r="F54" s="5" t="s">
        <v>41</v>
      </c>
      <c r="G54" s="3"/>
      <c r="H54" s="1" t="s">
        <v>1</v>
      </c>
      <c r="I54" s="5"/>
      <c r="J54" s="3">
        <v>3</v>
      </c>
      <c r="K54" s="1" t="s">
        <v>1</v>
      </c>
      <c r="L54" s="7">
        <v>0</v>
      </c>
      <c r="M54" s="9" t="str">
        <f t="shared" si="42"/>
        <v/>
      </c>
      <c r="N54" s="3">
        <v>2</v>
      </c>
      <c r="O54" s="1" t="s">
        <v>1</v>
      </c>
      <c r="P54" s="7">
        <v>1</v>
      </c>
      <c r="Q54" s="9" t="str">
        <f t="shared" si="43"/>
        <v/>
      </c>
      <c r="R54" s="3">
        <v>2</v>
      </c>
      <c r="S54" s="1" t="s">
        <v>1</v>
      </c>
      <c r="T54" s="7">
        <v>0</v>
      </c>
      <c r="U54" s="9" t="str">
        <f t="shared" si="44"/>
        <v/>
      </c>
      <c r="V54" s="3"/>
      <c r="W54" s="1" t="s">
        <v>1</v>
      </c>
      <c r="X54" s="7"/>
      <c r="Y54" s="9" t="str">
        <f t="shared" si="45"/>
        <v/>
      </c>
      <c r="Z54" s="3">
        <v>2</v>
      </c>
      <c r="AA54" s="1" t="s">
        <v>1</v>
      </c>
      <c r="AB54" s="7">
        <v>0</v>
      </c>
      <c r="AC54" s="9" t="str">
        <f t="shared" si="46"/>
        <v/>
      </c>
      <c r="AD54" s="3">
        <v>2</v>
      </c>
      <c r="AE54" s="1" t="s">
        <v>1</v>
      </c>
      <c r="AF54" s="7">
        <v>0</v>
      </c>
      <c r="AG54" s="9" t="str">
        <f t="shared" si="47"/>
        <v/>
      </c>
    </row>
    <row r="55" spans="2:33" x14ac:dyDescent="0.25">
      <c r="B55" s="12">
        <v>46195</v>
      </c>
      <c r="C55" s="7" t="s">
        <v>67</v>
      </c>
      <c r="D55" s="3" t="s">
        <v>42</v>
      </c>
      <c r="E55" s="1" t="s">
        <v>1</v>
      </c>
      <c r="F55" s="5" t="s">
        <v>40</v>
      </c>
      <c r="G55" s="3"/>
      <c r="H55" s="1" t="s">
        <v>1</v>
      </c>
      <c r="I55" s="5"/>
      <c r="J55" s="3">
        <v>3</v>
      </c>
      <c r="K55" s="1" t="s">
        <v>1</v>
      </c>
      <c r="L55" s="7">
        <v>0</v>
      </c>
      <c r="M55" s="9" t="str">
        <f t="shared" si="42"/>
        <v/>
      </c>
      <c r="N55" s="3">
        <v>3</v>
      </c>
      <c r="O55" s="1" t="s">
        <v>1</v>
      </c>
      <c r="P55" s="7">
        <v>0</v>
      </c>
      <c r="Q55" s="9" t="str">
        <f t="shared" si="43"/>
        <v/>
      </c>
      <c r="R55" s="3">
        <v>2</v>
      </c>
      <c r="S55" s="1" t="s">
        <v>1</v>
      </c>
      <c r="T55" s="7">
        <v>1</v>
      </c>
      <c r="U55" s="9" t="str">
        <f t="shared" si="44"/>
        <v/>
      </c>
      <c r="V55" s="3"/>
      <c r="W55" s="1" t="s">
        <v>1</v>
      </c>
      <c r="X55" s="7"/>
      <c r="Y55" s="9" t="str">
        <f t="shared" si="45"/>
        <v/>
      </c>
      <c r="Z55" s="3">
        <v>4</v>
      </c>
      <c r="AA55" s="1" t="s">
        <v>1</v>
      </c>
      <c r="AB55" s="7">
        <v>1</v>
      </c>
      <c r="AC55" s="9" t="str">
        <f t="shared" si="46"/>
        <v/>
      </c>
      <c r="AD55" s="3">
        <v>1</v>
      </c>
      <c r="AE55" s="1" t="s">
        <v>1</v>
      </c>
      <c r="AF55" s="7">
        <v>0</v>
      </c>
      <c r="AG55" s="9" t="str">
        <f t="shared" si="47"/>
        <v/>
      </c>
    </row>
    <row r="56" spans="2:33" x14ac:dyDescent="0.25">
      <c r="B56" s="12">
        <v>46200</v>
      </c>
      <c r="C56" s="7" t="s">
        <v>74</v>
      </c>
      <c r="D56" s="3" t="s">
        <v>40</v>
      </c>
      <c r="E56" s="1" t="s">
        <v>1</v>
      </c>
      <c r="F56" s="5" t="s">
        <v>41</v>
      </c>
      <c r="G56" s="3"/>
      <c r="H56" s="1" t="s">
        <v>1</v>
      </c>
      <c r="I56" s="5"/>
      <c r="J56" s="3">
        <v>0</v>
      </c>
      <c r="K56" s="1" t="s">
        <v>1</v>
      </c>
      <c r="L56" s="7">
        <v>1</v>
      </c>
      <c r="M56" s="9" t="str">
        <f t="shared" si="42"/>
        <v/>
      </c>
      <c r="N56" s="3">
        <v>0</v>
      </c>
      <c r="O56" s="1" t="s">
        <v>1</v>
      </c>
      <c r="P56" s="7">
        <v>2</v>
      </c>
      <c r="Q56" s="9" t="str">
        <f t="shared" si="43"/>
        <v/>
      </c>
      <c r="R56" s="3">
        <v>1</v>
      </c>
      <c r="S56" s="1" t="s">
        <v>1</v>
      </c>
      <c r="T56" s="7">
        <v>2</v>
      </c>
      <c r="U56" s="9" t="str">
        <f t="shared" si="44"/>
        <v/>
      </c>
      <c r="V56" s="3"/>
      <c r="W56" s="1" t="s">
        <v>1</v>
      </c>
      <c r="X56" s="7"/>
      <c r="Y56" s="9" t="str">
        <f t="shared" si="45"/>
        <v/>
      </c>
      <c r="Z56" s="3">
        <v>1</v>
      </c>
      <c r="AA56" s="1" t="s">
        <v>1</v>
      </c>
      <c r="AB56" s="7">
        <v>3</v>
      </c>
      <c r="AC56" s="9" t="str">
        <f t="shared" si="46"/>
        <v/>
      </c>
      <c r="AD56" s="3">
        <v>0</v>
      </c>
      <c r="AE56" s="1" t="s">
        <v>1</v>
      </c>
      <c r="AF56" s="7">
        <v>2</v>
      </c>
      <c r="AG56" s="9" t="str">
        <f t="shared" si="47"/>
        <v/>
      </c>
    </row>
    <row r="57" spans="2:33" ht="15.75" thickBot="1" x14ac:dyDescent="0.3">
      <c r="B57" s="13">
        <v>46200</v>
      </c>
      <c r="C57" s="8" t="s">
        <v>74</v>
      </c>
      <c r="D57" s="4" t="s">
        <v>42</v>
      </c>
      <c r="E57" s="2" t="s">
        <v>1</v>
      </c>
      <c r="F57" s="6" t="s">
        <v>39</v>
      </c>
      <c r="G57" s="4"/>
      <c r="H57" s="2" t="s">
        <v>1</v>
      </c>
      <c r="I57" s="6"/>
      <c r="J57" s="4">
        <v>1</v>
      </c>
      <c r="K57" s="2" t="s">
        <v>1</v>
      </c>
      <c r="L57" s="8">
        <v>2</v>
      </c>
      <c r="M57" s="10" t="str">
        <f t="shared" si="42"/>
        <v/>
      </c>
      <c r="N57" s="4">
        <v>1</v>
      </c>
      <c r="O57" s="2" t="s">
        <v>1</v>
      </c>
      <c r="P57" s="8">
        <v>2</v>
      </c>
      <c r="Q57" s="10" t="str">
        <f t="shared" si="43"/>
        <v/>
      </c>
      <c r="R57" s="4">
        <v>2</v>
      </c>
      <c r="S57" s="2" t="s">
        <v>1</v>
      </c>
      <c r="T57" s="8">
        <v>3</v>
      </c>
      <c r="U57" s="10" t="str">
        <f t="shared" si="44"/>
        <v/>
      </c>
      <c r="V57" s="4"/>
      <c r="W57" s="2" t="s">
        <v>1</v>
      </c>
      <c r="X57" s="8"/>
      <c r="Y57" s="10" t="str">
        <f t="shared" si="45"/>
        <v/>
      </c>
      <c r="Z57" s="4">
        <v>2</v>
      </c>
      <c r="AA57" s="2" t="s">
        <v>1</v>
      </c>
      <c r="AB57" s="8">
        <v>2</v>
      </c>
      <c r="AC57" s="10" t="str">
        <f t="shared" si="46"/>
        <v/>
      </c>
      <c r="AD57" s="4">
        <v>1</v>
      </c>
      <c r="AE57" s="2" t="s">
        <v>1</v>
      </c>
      <c r="AF57" s="8">
        <v>1</v>
      </c>
      <c r="AG57" s="10" t="str">
        <f t="shared" si="47"/>
        <v/>
      </c>
    </row>
    <row r="58" spans="2:33" ht="15.75" thickBot="1" x14ac:dyDescent="0.3">
      <c r="B58" s="70" t="s">
        <v>77</v>
      </c>
      <c r="C58" s="71" t="s">
        <v>78</v>
      </c>
      <c r="D58" s="102" t="s">
        <v>43</v>
      </c>
      <c r="E58" s="103"/>
      <c r="F58" s="104"/>
      <c r="G58" s="72" t="s">
        <v>7</v>
      </c>
      <c r="H58" s="73"/>
      <c r="I58" s="74"/>
      <c r="J58" s="34"/>
      <c r="K58" s="36"/>
      <c r="L58" s="36"/>
      <c r="M58" s="35"/>
      <c r="N58" s="44"/>
      <c r="O58" s="45"/>
      <c r="P58" s="45"/>
      <c r="Q58" s="46"/>
      <c r="R58" s="41"/>
      <c r="S58" s="42"/>
      <c r="T58" s="42"/>
      <c r="U58" s="43"/>
      <c r="V58" s="53"/>
      <c r="W58" s="54"/>
      <c r="X58" s="54"/>
      <c r="Y58" s="55"/>
      <c r="Z58" s="50"/>
      <c r="AA58" s="51"/>
      <c r="AB58" s="51"/>
      <c r="AC58" s="52"/>
      <c r="AD58" s="83"/>
      <c r="AE58" s="84"/>
      <c r="AF58" s="84"/>
      <c r="AG58" s="85"/>
    </row>
    <row r="59" spans="2:33" x14ac:dyDescent="0.25">
      <c r="B59" s="12">
        <v>46189</v>
      </c>
      <c r="C59" s="7" t="s">
        <v>63</v>
      </c>
      <c r="D59" s="3" t="s">
        <v>44</v>
      </c>
      <c r="E59" s="1" t="s">
        <v>1</v>
      </c>
      <c r="F59" s="5" t="s">
        <v>45</v>
      </c>
      <c r="G59" s="3"/>
      <c r="H59" s="1" t="s">
        <v>1</v>
      </c>
      <c r="I59" s="5"/>
      <c r="J59" s="3">
        <v>2</v>
      </c>
      <c r="K59" s="1" t="s">
        <v>1</v>
      </c>
      <c r="L59" s="7">
        <v>0</v>
      </c>
      <c r="M59" s="11" t="str">
        <f>IF(ISBLANK($I59)=TRUE,"",IF(SIGN(J59-L59)=SIGN($G59-$I59),1,0)+IF(J59=$G59,IF(L59=$I59,2,0),0))</f>
        <v/>
      </c>
      <c r="N59" s="3">
        <v>2</v>
      </c>
      <c r="O59" s="1" t="s">
        <v>1</v>
      </c>
      <c r="P59" s="7">
        <v>0</v>
      </c>
      <c r="Q59" s="11" t="str">
        <f>IF(ISBLANK($I59)=TRUE,"",IF(SIGN(N59-P59)=SIGN($G59-$I59),1,0)+IF(N59=$G59,IF(P59=$I59,2,0),0))</f>
        <v/>
      </c>
      <c r="R59" s="3">
        <v>2</v>
      </c>
      <c r="S59" s="1" t="s">
        <v>1</v>
      </c>
      <c r="T59" s="7">
        <v>1</v>
      </c>
      <c r="U59" s="11" t="str">
        <f>IF(ISBLANK($I59)=TRUE,"",IF(SIGN(R59-T59)=SIGN($G59-$I59),1,0)+IF(R59=$G59,IF(T59=$I59,2,0),0))</f>
        <v/>
      </c>
      <c r="V59" s="3"/>
      <c r="W59" s="1" t="s">
        <v>1</v>
      </c>
      <c r="X59" s="7"/>
      <c r="Y59" s="11" t="str">
        <f>IF(ISBLANK($I59)=TRUE,"",IF(SIGN(V59-X59)=SIGN($G59-$I59),1,0)+IF(V59=$G59,IF(X59=$I59,2,0),0))</f>
        <v/>
      </c>
      <c r="Z59" s="3">
        <v>1</v>
      </c>
      <c r="AA59" s="1" t="s">
        <v>1</v>
      </c>
      <c r="AB59" s="7">
        <v>0</v>
      </c>
      <c r="AC59" s="11" t="str">
        <f>IF(ISBLANK($I59)=TRUE,"",IF(SIGN(Z59-AB59)=SIGN($G59-$I59),1,0)+IF(Z59=$G59,IF(AB59=$I59,2,0),0))</f>
        <v/>
      </c>
      <c r="AD59" s="3">
        <v>2</v>
      </c>
      <c r="AE59" s="1" t="s">
        <v>1</v>
      </c>
      <c r="AF59" s="7">
        <v>1</v>
      </c>
      <c r="AG59" s="11" t="str">
        <f>IF(ISBLANK($I59)=TRUE,"",IF(SIGN(AD59-AF59)=SIGN($G59-$I59),1,0)+IF(AD59=$G59,IF(AF59=$I59,2,0),0))</f>
        <v/>
      </c>
    </row>
    <row r="60" spans="2:33" x14ac:dyDescent="0.25">
      <c r="B60" s="12">
        <v>46190</v>
      </c>
      <c r="C60" s="7" t="s">
        <v>67</v>
      </c>
      <c r="D60" s="3" t="s">
        <v>46</v>
      </c>
      <c r="E60" s="1" t="s">
        <v>1</v>
      </c>
      <c r="F60" s="5" t="s">
        <v>47</v>
      </c>
      <c r="G60" s="3"/>
      <c r="H60" s="1" t="s">
        <v>1</v>
      </c>
      <c r="I60" s="5"/>
      <c r="J60" s="3">
        <v>0</v>
      </c>
      <c r="K60" s="1" t="s">
        <v>1</v>
      </c>
      <c r="L60" s="7">
        <v>2</v>
      </c>
      <c r="M60" s="9" t="str">
        <f t="shared" ref="M60:M64" si="48">IF(ISBLANK($G60)=TRUE,"",IF(SIGN(J60-L60)=SIGN($G60-$I60),1,0)+IF(J60=$G60,IF(L60=$I60,2,0),0))</f>
        <v/>
      </c>
      <c r="N60" s="3">
        <v>1</v>
      </c>
      <c r="O60" s="1" t="s">
        <v>1</v>
      </c>
      <c r="P60" s="7">
        <v>2</v>
      </c>
      <c r="Q60" s="9" t="str">
        <f t="shared" ref="Q60:Q64" si="49">IF(ISBLANK($G60)=TRUE,"",IF(SIGN(N60-P60)=SIGN($G60-$I60),1,0)+IF(N60=$G60,IF(P60=$I60,2,0),0))</f>
        <v/>
      </c>
      <c r="R60" s="3">
        <v>1</v>
      </c>
      <c r="S60" s="1" t="s">
        <v>1</v>
      </c>
      <c r="T60" s="7">
        <v>2</v>
      </c>
      <c r="U60" s="9" t="str">
        <f t="shared" ref="U60:U64" si="50">IF(ISBLANK($G60)=TRUE,"",IF(SIGN(R60-T60)=SIGN($G60-$I60),1,0)+IF(R60=$G60,IF(T60=$I60,2,0),0))</f>
        <v/>
      </c>
      <c r="V60" s="3"/>
      <c r="W60" s="1" t="s">
        <v>1</v>
      </c>
      <c r="X60" s="7"/>
      <c r="Y60" s="9" t="str">
        <f t="shared" ref="Y60:Y64" si="51">IF(ISBLANK($G60)=TRUE,"",IF(SIGN(V60-X60)=SIGN($G60-$I60),1,0)+IF(V60=$G60,IF(X60=$I60,2,0),0))</f>
        <v/>
      </c>
      <c r="Z60" s="3">
        <v>1</v>
      </c>
      <c r="AA60" s="1" t="s">
        <v>1</v>
      </c>
      <c r="AB60" s="7">
        <v>4</v>
      </c>
      <c r="AC60" s="9" t="str">
        <f t="shared" ref="AC60:AC64" si="52">IF(ISBLANK($G60)=TRUE,"",IF(SIGN(Z60-AB60)=SIGN($G60-$I60),1,0)+IF(Z60=$G60,IF(AB60=$I60,2,0),0))</f>
        <v/>
      </c>
      <c r="AD60" s="3">
        <v>0</v>
      </c>
      <c r="AE60" s="1" t="s">
        <v>1</v>
      </c>
      <c r="AF60" s="7">
        <v>2</v>
      </c>
      <c r="AG60" s="9" t="str">
        <f t="shared" ref="AG60:AG64" si="53">IF(ISBLANK($G60)=TRUE,"",IF(SIGN(AD60-AF60)=SIGN($G60-$I60),1,0)+IF(AD60=$G60,IF(AF60=$I60,2,0),0))</f>
        <v/>
      </c>
    </row>
    <row r="61" spans="2:33" x14ac:dyDescent="0.25">
      <c r="B61" s="12">
        <v>46195</v>
      </c>
      <c r="C61" s="7" t="s">
        <v>75</v>
      </c>
      <c r="D61" s="3" t="s">
        <v>44</v>
      </c>
      <c r="E61" s="1" t="s">
        <v>1</v>
      </c>
      <c r="F61" s="5" t="s">
        <v>46</v>
      </c>
      <c r="G61" s="3"/>
      <c r="H61" s="1" t="s">
        <v>1</v>
      </c>
      <c r="I61" s="5"/>
      <c r="J61" s="3">
        <v>3</v>
      </c>
      <c r="K61" s="1" t="s">
        <v>1</v>
      </c>
      <c r="L61" s="7">
        <v>0</v>
      </c>
      <c r="M61" s="9" t="str">
        <f t="shared" si="48"/>
        <v/>
      </c>
      <c r="N61" s="3">
        <v>3</v>
      </c>
      <c r="O61" s="1" t="s">
        <v>1</v>
      </c>
      <c r="P61" s="7">
        <v>0</v>
      </c>
      <c r="Q61" s="9" t="str">
        <f t="shared" si="49"/>
        <v/>
      </c>
      <c r="R61" s="3">
        <v>3</v>
      </c>
      <c r="S61" s="1" t="s">
        <v>1</v>
      </c>
      <c r="T61" s="7">
        <v>0</v>
      </c>
      <c r="U61" s="9" t="str">
        <f t="shared" si="50"/>
        <v/>
      </c>
      <c r="V61" s="3"/>
      <c r="W61" s="1" t="s">
        <v>1</v>
      </c>
      <c r="X61" s="7"/>
      <c r="Y61" s="9" t="str">
        <f t="shared" si="51"/>
        <v/>
      </c>
      <c r="Z61" s="3">
        <v>3</v>
      </c>
      <c r="AA61" s="1" t="s">
        <v>1</v>
      </c>
      <c r="AB61" s="7">
        <v>1</v>
      </c>
      <c r="AC61" s="9" t="str">
        <f t="shared" si="52"/>
        <v/>
      </c>
      <c r="AD61" s="3">
        <v>2</v>
      </c>
      <c r="AE61" s="1" t="s">
        <v>1</v>
      </c>
      <c r="AF61" s="7">
        <v>0</v>
      </c>
      <c r="AG61" s="9" t="str">
        <f t="shared" si="53"/>
        <v/>
      </c>
    </row>
    <row r="62" spans="2:33" x14ac:dyDescent="0.25">
      <c r="B62" s="12">
        <v>46196</v>
      </c>
      <c r="C62" s="7" t="s">
        <v>74</v>
      </c>
      <c r="D62" s="3" t="s">
        <v>47</v>
      </c>
      <c r="E62" s="1" t="s">
        <v>1</v>
      </c>
      <c r="F62" s="5" t="s">
        <v>45</v>
      </c>
      <c r="G62" s="3"/>
      <c r="H62" s="1" t="s">
        <v>1</v>
      </c>
      <c r="I62" s="5"/>
      <c r="J62" s="3">
        <v>1</v>
      </c>
      <c r="K62" s="1" t="s">
        <v>1</v>
      </c>
      <c r="L62" s="7">
        <v>0</v>
      </c>
      <c r="M62" s="9" t="str">
        <f t="shared" si="48"/>
        <v/>
      </c>
      <c r="N62" s="3">
        <v>2</v>
      </c>
      <c r="O62" s="1" t="s">
        <v>1</v>
      </c>
      <c r="P62" s="7">
        <v>1</v>
      </c>
      <c r="Q62" s="9" t="str">
        <f t="shared" si="49"/>
        <v/>
      </c>
      <c r="R62" s="3">
        <v>1</v>
      </c>
      <c r="S62" s="1" t="s">
        <v>1</v>
      </c>
      <c r="T62" s="7">
        <v>2</v>
      </c>
      <c r="U62" s="9" t="str">
        <f t="shared" si="50"/>
        <v/>
      </c>
      <c r="V62" s="3"/>
      <c r="W62" s="1" t="s">
        <v>1</v>
      </c>
      <c r="X62" s="7"/>
      <c r="Y62" s="9" t="str">
        <f t="shared" si="51"/>
        <v/>
      </c>
      <c r="Z62" s="3">
        <v>1</v>
      </c>
      <c r="AA62" s="1" t="s">
        <v>1</v>
      </c>
      <c r="AB62" s="7">
        <v>0</v>
      </c>
      <c r="AC62" s="9" t="str">
        <f t="shared" si="52"/>
        <v/>
      </c>
      <c r="AD62" s="3">
        <v>1</v>
      </c>
      <c r="AE62" s="1" t="s">
        <v>1</v>
      </c>
      <c r="AF62" s="7">
        <v>1</v>
      </c>
      <c r="AG62" s="9" t="str">
        <f t="shared" si="53"/>
        <v/>
      </c>
    </row>
    <row r="63" spans="2:33" x14ac:dyDescent="0.25">
      <c r="B63" s="12">
        <v>46199</v>
      </c>
      <c r="C63" s="7" t="s">
        <v>63</v>
      </c>
      <c r="D63" s="3" t="s">
        <v>47</v>
      </c>
      <c r="E63" s="1" t="s">
        <v>1</v>
      </c>
      <c r="F63" s="5" t="s">
        <v>44</v>
      </c>
      <c r="G63" s="3"/>
      <c r="H63" s="1" t="s">
        <v>1</v>
      </c>
      <c r="I63" s="5"/>
      <c r="J63" s="3">
        <v>0</v>
      </c>
      <c r="K63" s="1" t="s">
        <v>1</v>
      </c>
      <c r="L63" s="7">
        <v>2</v>
      </c>
      <c r="M63" s="9" t="str">
        <f t="shared" si="48"/>
        <v/>
      </c>
      <c r="N63" s="3">
        <v>1</v>
      </c>
      <c r="O63" s="1" t="s">
        <v>1</v>
      </c>
      <c r="P63" s="7">
        <v>2</v>
      </c>
      <c r="Q63" s="9" t="str">
        <f t="shared" si="49"/>
        <v/>
      </c>
      <c r="R63" s="3">
        <v>2</v>
      </c>
      <c r="S63" s="1" t="s">
        <v>1</v>
      </c>
      <c r="T63" s="7">
        <v>2</v>
      </c>
      <c r="U63" s="9" t="str">
        <f t="shared" si="50"/>
        <v/>
      </c>
      <c r="V63" s="3"/>
      <c r="W63" s="1" t="s">
        <v>1</v>
      </c>
      <c r="X63" s="7"/>
      <c r="Y63" s="9" t="str">
        <f t="shared" si="51"/>
        <v/>
      </c>
      <c r="Z63" s="3">
        <v>1</v>
      </c>
      <c r="AA63" s="1" t="s">
        <v>1</v>
      </c>
      <c r="AB63" s="7">
        <v>2</v>
      </c>
      <c r="AC63" s="9" t="str">
        <f t="shared" si="52"/>
        <v/>
      </c>
      <c r="AD63" s="3">
        <v>0</v>
      </c>
      <c r="AE63" s="1" t="s">
        <v>1</v>
      </c>
      <c r="AF63" s="7">
        <v>1</v>
      </c>
      <c r="AG63" s="9" t="str">
        <f t="shared" si="53"/>
        <v/>
      </c>
    </row>
    <row r="64" spans="2:33" ht="15.75" thickBot="1" x14ac:dyDescent="0.3">
      <c r="B64" s="13">
        <v>46199</v>
      </c>
      <c r="C64" s="8" t="s">
        <v>63</v>
      </c>
      <c r="D64" s="4" t="s">
        <v>45</v>
      </c>
      <c r="E64" s="2" t="s">
        <v>1</v>
      </c>
      <c r="F64" s="6" t="s">
        <v>46</v>
      </c>
      <c r="G64" s="4"/>
      <c r="H64" s="2" t="s">
        <v>1</v>
      </c>
      <c r="I64" s="6"/>
      <c r="J64" s="4">
        <v>2</v>
      </c>
      <c r="K64" s="2" t="s">
        <v>1</v>
      </c>
      <c r="L64" s="8">
        <v>1</v>
      </c>
      <c r="M64" s="10" t="str">
        <f t="shared" si="48"/>
        <v/>
      </c>
      <c r="N64" s="4">
        <v>2</v>
      </c>
      <c r="O64" s="2" t="s">
        <v>1</v>
      </c>
      <c r="P64" s="8">
        <v>1</v>
      </c>
      <c r="Q64" s="10" t="str">
        <f t="shared" si="49"/>
        <v/>
      </c>
      <c r="R64" s="4">
        <v>2</v>
      </c>
      <c r="S64" s="2" t="s">
        <v>1</v>
      </c>
      <c r="T64" s="8">
        <v>0</v>
      </c>
      <c r="U64" s="10" t="str">
        <f t="shared" si="50"/>
        <v/>
      </c>
      <c r="V64" s="4"/>
      <c r="W64" s="2" t="s">
        <v>1</v>
      </c>
      <c r="X64" s="8"/>
      <c r="Y64" s="10" t="str">
        <f t="shared" si="51"/>
        <v/>
      </c>
      <c r="Z64" s="4">
        <v>0</v>
      </c>
      <c r="AA64" s="2" t="s">
        <v>1</v>
      </c>
      <c r="AB64" s="8">
        <v>0</v>
      </c>
      <c r="AC64" s="10" t="str">
        <f t="shared" si="52"/>
        <v/>
      </c>
      <c r="AD64" s="4">
        <v>2</v>
      </c>
      <c r="AE64" s="2" t="s">
        <v>1</v>
      </c>
      <c r="AF64" s="8">
        <v>0</v>
      </c>
      <c r="AG64" s="10" t="str">
        <f t="shared" si="53"/>
        <v/>
      </c>
    </row>
    <row r="65" spans="2:33" ht="15.75" thickBot="1" x14ac:dyDescent="0.3">
      <c r="B65" s="70" t="s">
        <v>77</v>
      </c>
      <c r="C65" s="71" t="s">
        <v>78</v>
      </c>
      <c r="D65" s="102" t="s">
        <v>48</v>
      </c>
      <c r="E65" s="103"/>
      <c r="F65" s="104"/>
      <c r="G65" s="72" t="s">
        <v>7</v>
      </c>
      <c r="H65" s="73"/>
      <c r="I65" s="74"/>
      <c r="J65" s="34"/>
      <c r="K65" s="36"/>
      <c r="L65" s="36"/>
      <c r="M65" s="35"/>
      <c r="N65" s="44"/>
      <c r="O65" s="45"/>
      <c r="P65" s="45"/>
      <c r="Q65" s="46"/>
      <c r="R65" s="41"/>
      <c r="S65" s="42"/>
      <c r="T65" s="42"/>
      <c r="U65" s="43"/>
      <c r="V65" s="53"/>
      <c r="W65" s="54"/>
      <c r="X65" s="54"/>
      <c r="Y65" s="55"/>
      <c r="Z65" s="50"/>
      <c r="AA65" s="51"/>
      <c r="AB65" s="51"/>
      <c r="AC65" s="52"/>
      <c r="AD65" s="83"/>
      <c r="AE65" s="84"/>
      <c r="AF65" s="84"/>
      <c r="AG65" s="85"/>
    </row>
    <row r="66" spans="2:33" x14ac:dyDescent="0.25">
      <c r="B66" s="12">
        <v>46190</v>
      </c>
      <c r="C66" s="7" t="s">
        <v>66</v>
      </c>
      <c r="D66" s="3" t="s">
        <v>49</v>
      </c>
      <c r="E66" s="1" t="s">
        <v>1</v>
      </c>
      <c r="F66" s="5" t="s">
        <v>50</v>
      </c>
      <c r="G66" s="3"/>
      <c r="H66" s="1" t="s">
        <v>1</v>
      </c>
      <c r="I66" s="5"/>
      <c r="J66" s="3">
        <v>2</v>
      </c>
      <c r="K66" s="1" t="s">
        <v>1</v>
      </c>
      <c r="L66" s="7">
        <v>1</v>
      </c>
      <c r="M66" s="11" t="str">
        <f>IF(ISBLANK($I66)=TRUE,"",IF(SIGN(J66-L66)=SIGN($G66-$I66),1,0)+IF(J66=$G66,IF(L66=$I66,2,0),0))</f>
        <v/>
      </c>
      <c r="N66" s="3">
        <v>3</v>
      </c>
      <c r="O66" s="1" t="s">
        <v>1</v>
      </c>
      <c r="P66" s="7">
        <v>0</v>
      </c>
      <c r="Q66" s="11" t="str">
        <f>IF(ISBLANK($I66)=TRUE,"",IF(SIGN(N66-P66)=SIGN($G66-$I66),1,0)+IF(N66=$G66,IF(P66=$I66,2,0),0))</f>
        <v/>
      </c>
      <c r="R66" s="3">
        <v>1</v>
      </c>
      <c r="S66" s="1" t="s">
        <v>1</v>
      </c>
      <c r="T66" s="7">
        <v>0</v>
      </c>
      <c r="U66" s="11" t="str">
        <f>IF(ISBLANK($I66)=TRUE,"",IF(SIGN(R66-T66)=SIGN($G66-$I66),1,0)+IF(R66=$G66,IF(T66=$I66,2,0),0))</f>
        <v/>
      </c>
      <c r="V66" s="3"/>
      <c r="W66" s="1" t="s">
        <v>1</v>
      </c>
      <c r="X66" s="7"/>
      <c r="Y66" s="11" t="str">
        <f>IF(ISBLANK($I66)=TRUE,"",IF(SIGN(V66-X66)=SIGN($G66-$I66),1,0)+IF(V66=$G66,IF(X66=$I66,2,0),0))</f>
        <v/>
      </c>
      <c r="Z66" s="3">
        <v>1</v>
      </c>
      <c r="AA66" s="1" t="s">
        <v>1</v>
      </c>
      <c r="AB66" s="7">
        <v>0</v>
      </c>
      <c r="AC66" s="11" t="str">
        <f>IF(ISBLANK($I66)=TRUE,"",IF(SIGN(Z66-AB66)=SIGN($G66-$I66),1,0)+IF(Z66=$G66,IF(AB66=$I66,2,0),0))</f>
        <v/>
      </c>
      <c r="AD66" s="3">
        <v>2</v>
      </c>
      <c r="AE66" s="1" t="s">
        <v>1</v>
      </c>
      <c r="AF66" s="7">
        <v>1</v>
      </c>
      <c r="AG66" s="11" t="str">
        <f>IF(ISBLANK($I66)=TRUE,"",IF(SIGN(AD66-AF66)=SIGN($G66-$I66),1,0)+IF(AD66=$G66,IF(AF66=$I66,2,0),0))</f>
        <v/>
      </c>
    </row>
    <row r="67" spans="2:33" x14ac:dyDescent="0.25">
      <c r="B67" s="12">
        <v>46190</v>
      </c>
      <c r="C67" s="7" t="s">
        <v>69</v>
      </c>
      <c r="D67" s="3" t="s">
        <v>51</v>
      </c>
      <c r="E67" s="1" t="s">
        <v>1</v>
      </c>
      <c r="F67" s="5" t="s">
        <v>52</v>
      </c>
      <c r="G67" s="3"/>
      <c r="H67" s="1" t="s">
        <v>1</v>
      </c>
      <c r="I67" s="5"/>
      <c r="J67" s="3">
        <v>2</v>
      </c>
      <c r="K67" s="1" t="s">
        <v>1</v>
      </c>
      <c r="L67" s="7">
        <v>0</v>
      </c>
      <c r="M67" s="9" t="str">
        <f t="shared" ref="M67:M71" si="54">IF(ISBLANK($G67)=TRUE,"",IF(SIGN(J67-L67)=SIGN($G67-$I67),1,0)+IF(J67=$G67,IF(L67=$I67,2,0),0))</f>
        <v/>
      </c>
      <c r="N67" s="3">
        <v>2</v>
      </c>
      <c r="O67" s="1" t="s">
        <v>1</v>
      </c>
      <c r="P67" s="7">
        <v>1</v>
      </c>
      <c r="Q67" s="9" t="str">
        <f t="shared" ref="Q67:Q71" si="55">IF(ISBLANK($G67)=TRUE,"",IF(SIGN(N67-P67)=SIGN($G67-$I67),1,0)+IF(N67=$G67,IF(P67=$I67,2,0),0))</f>
        <v/>
      </c>
      <c r="R67" s="3">
        <v>3</v>
      </c>
      <c r="S67" s="1" t="s">
        <v>1</v>
      </c>
      <c r="T67" s="7">
        <v>0</v>
      </c>
      <c r="U67" s="9" t="str">
        <f t="shared" ref="U67:U71" si="56">IF(ISBLANK($G67)=TRUE,"",IF(SIGN(R67-T67)=SIGN($G67-$I67),1,0)+IF(R67=$G67,IF(T67=$I67,2,0),0))</f>
        <v/>
      </c>
      <c r="V67" s="3"/>
      <c r="W67" s="1" t="s">
        <v>1</v>
      </c>
      <c r="X67" s="7"/>
      <c r="Y67" s="9" t="str">
        <f t="shared" ref="Y67:Y71" si="57">IF(ISBLANK($G67)=TRUE,"",IF(SIGN(V67-X67)=SIGN($G67-$I67),1,0)+IF(V67=$G67,IF(X67=$I67,2,0),0))</f>
        <v/>
      </c>
      <c r="Z67" s="3">
        <v>2</v>
      </c>
      <c r="AA67" s="1" t="s">
        <v>1</v>
      </c>
      <c r="AB67" s="7">
        <v>0</v>
      </c>
      <c r="AC67" s="9" t="str">
        <f t="shared" ref="AC67:AC71" si="58">IF(ISBLANK($G67)=TRUE,"",IF(SIGN(Z67-AB67)=SIGN($G67-$I67),1,0)+IF(Z67=$G67,IF(AB67=$I67,2,0),0))</f>
        <v/>
      </c>
      <c r="AD67" s="3">
        <v>3</v>
      </c>
      <c r="AE67" s="1" t="s">
        <v>1</v>
      </c>
      <c r="AF67" s="7">
        <v>0</v>
      </c>
      <c r="AG67" s="9" t="str">
        <f t="shared" ref="AG67:AG71" si="59">IF(ISBLANK($G67)=TRUE,"",IF(SIGN(AD67-AF67)=SIGN($G67-$I67),1,0)+IF(AD67=$G67,IF(AF67=$I67,2,0),0))</f>
        <v/>
      </c>
    </row>
    <row r="68" spans="2:33" x14ac:dyDescent="0.25">
      <c r="B68" s="12">
        <v>46195</v>
      </c>
      <c r="C68" s="7" t="s">
        <v>71</v>
      </c>
      <c r="D68" s="3" t="s">
        <v>49</v>
      </c>
      <c r="E68" s="1" t="s">
        <v>1</v>
      </c>
      <c r="F68" s="5" t="s">
        <v>51</v>
      </c>
      <c r="G68" s="3"/>
      <c r="H68" s="1" t="s">
        <v>1</v>
      </c>
      <c r="I68" s="5"/>
      <c r="J68" s="3">
        <v>2</v>
      </c>
      <c r="K68" s="1" t="s">
        <v>1</v>
      </c>
      <c r="L68" s="7">
        <v>1</v>
      </c>
      <c r="M68" s="9" t="str">
        <f t="shared" si="54"/>
        <v/>
      </c>
      <c r="N68" s="3">
        <v>2</v>
      </c>
      <c r="O68" s="1" t="s">
        <v>1</v>
      </c>
      <c r="P68" s="7">
        <v>0</v>
      </c>
      <c r="Q68" s="9" t="str">
        <f t="shared" si="55"/>
        <v/>
      </c>
      <c r="R68" s="3">
        <v>2</v>
      </c>
      <c r="S68" s="1" t="s">
        <v>1</v>
      </c>
      <c r="T68" s="7">
        <v>1</v>
      </c>
      <c r="U68" s="9" t="str">
        <f t="shared" si="56"/>
        <v/>
      </c>
      <c r="V68" s="3"/>
      <c r="W68" s="1" t="s">
        <v>1</v>
      </c>
      <c r="X68" s="7"/>
      <c r="Y68" s="9" t="str">
        <f t="shared" si="57"/>
        <v/>
      </c>
      <c r="Z68" s="3">
        <v>2</v>
      </c>
      <c r="AA68" s="1" t="s">
        <v>1</v>
      </c>
      <c r="AB68" s="7">
        <v>0</v>
      </c>
      <c r="AC68" s="9" t="str">
        <f t="shared" si="58"/>
        <v/>
      </c>
      <c r="AD68" s="3">
        <v>1</v>
      </c>
      <c r="AE68" s="1" t="s">
        <v>1</v>
      </c>
      <c r="AF68" s="7">
        <v>0</v>
      </c>
      <c r="AG68" s="9" t="str">
        <f t="shared" si="59"/>
        <v/>
      </c>
    </row>
    <row r="69" spans="2:33" x14ac:dyDescent="0.25">
      <c r="B69" s="12">
        <v>46196</v>
      </c>
      <c r="C69" s="7" t="s">
        <v>70</v>
      </c>
      <c r="D69" s="3" t="s">
        <v>52</v>
      </c>
      <c r="E69" s="1" t="s">
        <v>1</v>
      </c>
      <c r="F69" s="5" t="s">
        <v>50</v>
      </c>
      <c r="G69" s="3"/>
      <c r="H69" s="1" t="s">
        <v>1</v>
      </c>
      <c r="I69" s="5"/>
      <c r="J69" s="3">
        <v>0</v>
      </c>
      <c r="K69" s="1" t="s">
        <v>1</v>
      </c>
      <c r="L69" s="7">
        <v>2</v>
      </c>
      <c r="M69" s="9" t="str">
        <f t="shared" si="54"/>
        <v/>
      </c>
      <c r="N69" s="3">
        <v>2</v>
      </c>
      <c r="O69" s="1" t="s">
        <v>1</v>
      </c>
      <c r="P69" s="7">
        <v>1</v>
      </c>
      <c r="Q69" s="9" t="str">
        <f t="shared" si="55"/>
        <v/>
      </c>
      <c r="R69" s="3">
        <v>0</v>
      </c>
      <c r="S69" s="1" t="s">
        <v>1</v>
      </c>
      <c r="T69" s="7">
        <v>2</v>
      </c>
      <c r="U69" s="9" t="str">
        <f t="shared" si="56"/>
        <v/>
      </c>
      <c r="V69" s="3"/>
      <c r="W69" s="1" t="s">
        <v>1</v>
      </c>
      <c r="X69" s="7"/>
      <c r="Y69" s="9" t="str">
        <f t="shared" si="57"/>
        <v/>
      </c>
      <c r="Z69" s="3">
        <v>0</v>
      </c>
      <c r="AA69" s="1" t="s">
        <v>1</v>
      </c>
      <c r="AB69" s="7">
        <v>0</v>
      </c>
      <c r="AC69" s="9" t="str">
        <f t="shared" si="58"/>
        <v/>
      </c>
      <c r="AD69" s="3">
        <v>1</v>
      </c>
      <c r="AE69" s="1" t="s">
        <v>1</v>
      </c>
      <c r="AF69" s="7">
        <v>2</v>
      </c>
      <c r="AG69" s="9" t="str">
        <f t="shared" si="59"/>
        <v/>
      </c>
    </row>
    <row r="70" spans="2:33" x14ac:dyDescent="0.25">
      <c r="B70" s="12">
        <v>46201</v>
      </c>
      <c r="C70" s="7" t="s">
        <v>64</v>
      </c>
      <c r="D70" s="3" t="s">
        <v>50</v>
      </c>
      <c r="E70" s="1" t="s">
        <v>1</v>
      </c>
      <c r="F70" s="5" t="s">
        <v>51</v>
      </c>
      <c r="G70" s="3"/>
      <c r="H70" s="1" t="s">
        <v>1</v>
      </c>
      <c r="I70" s="5"/>
      <c r="J70" s="3">
        <v>1</v>
      </c>
      <c r="K70" s="1" t="s">
        <v>1</v>
      </c>
      <c r="L70" s="7">
        <v>1</v>
      </c>
      <c r="M70" s="9" t="str">
        <f t="shared" si="54"/>
        <v/>
      </c>
      <c r="N70" s="3">
        <v>1</v>
      </c>
      <c r="O70" s="1" t="s">
        <v>1</v>
      </c>
      <c r="P70" s="7">
        <v>2</v>
      </c>
      <c r="Q70" s="9" t="str">
        <f t="shared" si="55"/>
        <v/>
      </c>
      <c r="R70" s="3">
        <v>1</v>
      </c>
      <c r="S70" s="1" t="s">
        <v>1</v>
      </c>
      <c r="T70" s="7">
        <v>1</v>
      </c>
      <c r="U70" s="9" t="str">
        <f t="shared" si="56"/>
        <v/>
      </c>
      <c r="V70" s="3"/>
      <c r="W70" s="1" t="s">
        <v>1</v>
      </c>
      <c r="X70" s="7"/>
      <c r="Y70" s="9" t="str">
        <f t="shared" si="57"/>
        <v/>
      </c>
      <c r="Z70" s="3">
        <v>1</v>
      </c>
      <c r="AA70" s="1" t="s">
        <v>1</v>
      </c>
      <c r="AB70" s="7">
        <v>1</v>
      </c>
      <c r="AC70" s="9" t="str">
        <f t="shared" si="58"/>
        <v/>
      </c>
      <c r="AD70" s="3">
        <v>0</v>
      </c>
      <c r="AE70" s="1" t="s">
        <v>1</v>
      </c>
      <c r="AF70" s="7">
        <v>1</v>
      </c>
      <c r="AG70" s="9" t="str">
        <f t="shared" si="59"/>
        <v/>
      </c>
    </row>
    <row r="71" spans="2:33" ht="15.75" thickBot="1" x14ac:dyDescent="0.3">
      <c r="B71" s="13">
        <v>46201</v>
      </c>
      <c r="C71" s="8" t="s">
        <v>64</v>
      </c>
      <c r="D71" s="4" t="s">
        <v>52</v>
      </c>
      <c r="E71" s="2" t="s">
        <v>1</v>
      </c>
      <c r="F71" s="6" t="s">
        <v>49</v>
      </c>
      <c r="G71" s="4"/>
      <c r="H71" s="2" t="s">
        <v>1</v>
      </c>
      <c r="I71" s="6"/>
      <c r="J71" s="4">
        <v>0</v>
      </c>
      <c r="K71" s="2" t="s">
        <v>1</v>
      </c>
      <c r="L71" s="8">
        <v>3</v>
      </c>
      <c r="M71" s="10" t="str">
        <f t="shared" si="54"/>
        <v/>
      </c>
      <c r="N71" s="4">
        <v>0</v>
      </c>
      <c r="O71" s="2" t="s">
        <v>1</v>
      </c>
      <c r="P71" s="8">
        <v>3</v>
      </c>
      <c r="Q71" s="10" t="str">
        <f t="shared" si="55"/>
        <v/>
      </c>
      <c r="R71" s="4">
        <v>1</v>
      </c>
      <c r="S71" s="2" t="s">
        <v>1</v>
      </c>
      <c r="T71" s="8">
        <v>4</v>
      </c>
      <c r="U71" s="10" t="str">
        <f t="shared" si="56"/>
        <v/>
      </c>
      <c r="V71" s="4"/>
      <c r="W71" s="2" t="s">
        <v>1</v>
      </c>
      <c r="X71" s="8"/>
      <c r="Y71" s="10" t="str">
        <f t="shared" si="57"/>
        <v/>
      </c>
      <c r="Z71" s="4">
        <v>0</v>
      </c>
      <c r="AA71" s="2" t="s">
        <v>1</v>
      </c>
      <c r="AB71" s="8">
        <v>3</v>
      </c>
      <c r="AC71" s="10" t="str">
        <f t="shared" si="58"/>
        <v/>
      </c>
      <c r="AD71" s="4">
        <v>0</v>
      </c>
      <c r="AE71" s="2" t="s">
        <v>1</v>
      </c>
      <c r="AF71" s="8">
        <v>1</v>
      </c>
      <c r="AG71" s="10" t="str">
        <f t="shared" si="59"/>
        <v/>
      </c>
    </row>
    <row r="72" spans="2:33" ht="15.75" thickBot="1" x14ac:dyDescent="0.3">
      <c r="B72" s="70" t="s">
        <v>77</v>
      </c>
      <c r="C72" s="71" t="s">
        <v>78</v>
      </c>
      <c r="D72" s="102" t="s">
        <v>53</v>
      </c>
      <c r="E72" s="103"/>
      <c r="F72" s="104"/>
      <c r="G72" s="72" t="s">
        <v>7</v>
      </c>
      <c r="H72" s="73"/>
      <c r="I72" s="74"/>
      <c r="J72" s="34"/>
      <c r="K72" s="36"/>
      <c r="L72" s="36"/>
      <c r="M72" s="35"/>
      <c r="N72" s="44"/>
      <c r="O72" s="45"/>
      <c r="P72" s="45"/>
      <c r="Q72" s="46"/>
      <c r="R72" s="41"/>
      <c r="S72" s="42"/>
      <c r="T72" s="42"/>
      <c r="U72" s="43"/>
      <c r="V72" s="53"/>
      <c r="W72" s="54"/>
      <c r="X72" s="54"/>
      <c r="Y72" s="55"/>
      <c r="Z72" s="50"/>
      <c r="AA72" s="51"/>
      <c r="AB72" s="51"/>
      <c r="AC72" s="52"/>
      <c r="AD72" s="83"/>
      <c r="AE72" s="84"/>
      <c r="AF72" s="84"/>
      <c r="AG72" s="85"/>
    </row>
    <row r="73" spans="2:33" x14ac:dyDescent="0.25">
      <c r="B73" s="12">
        <v>46190</v>
      </c>
      <c r="C73" s="7" t="s">
        <v>71</v>
      </c>
      <c r="D73" s="3" t="s">
        <v>54</v>
      </c>
      <c r="E73" s="1" t="s">
        <v>1</v>
      </c>
      <c r="F73" s="5" t="s">
        <v>55</v>
      </c>
      <c r="G73" s="3"/>
      <c r="H73" s="1" t="s">
        <v>1</v>
      </c>
      <c r="I73" s="5"/>
      <c r="J73" s="3">
        <v>2</v>
      </c>
      <c r="K73" s="1" t="s">
        <v>1</v>
      </c>
      <c r="L73" s="7">
        <v>0</v>
      </c>
      <c r="M73" s="11" t="str">
        <f>IF(ISBLANK($I73)=TRUE,"",IF(SIGN(J73-L73)=SIGN($G73-$I73),1,0)+IF(J73=$G73,IF(L73=$I73,2,0),0))</f>
        <v/>
      </c>
      <c r="N73" s="3">
        <v>2</v>
      </c>
      <c r="O73" s="1" t="s">
        <v>1</v>
      </c>
      <c r="P73" s="7">
        <v>0</v>
      </c>
      <c r="Q73" s="11" t="str">
        <f>IF(ISBLANK($I73)=TRUE,"",IF(SIGN(N73-P73)=SIGN($G73-$I73),1,0)+IF(N73=$G73,IF(P73=$I73,2,0),0))</f>
        <v/>
      </c>
      <c r="R73" s="3">
        <v>4</v>
      </c>
      <c r="S73" s="1" t="s">
        <v>1</v>
      </c>
      <c r="T73" s="7">
        <v>1</v>
      </c>
      <c r="U73" s="11" t="str">
        <f>IF(ISBLANK($I73)=TRUE,"",IF(SIGN(R73-T73)=SIGN($G73-$I73),1,0)+IF(R73=$G73,IF(T73=$I73,2,0),0))</f>
        <v/>
      </c>
      <c r="V73" s="3"/>
      <c r="W73" s="1" t="s">
        <v>1</v>
      </c>
      <c r="X73" s="7"/>
      <c r="Y73" s="11" t="str">
        <f>IF(ISBLANK($I73)=TRUE,"",IF(SIGN(V73-X73)=SIGN($G73-$I73),1,0)+IF(V73=$G73,IF(X73=$I73,2,0),0))</f>
        <v/>
      </c>
      <c r="Z73" s="3">
        <v>2</v>
      </c>
      <c r="AA73" s="1" t="s">
        <v>1</v>
      </c>
      <c r="AB73" s="7">
        <v>0</v>
      </c>
      <c r="AC73" s="11" t="str">
        <f>IF(ISBLANK($I73)=TRUE,"",IF(SIGN(Z73-AB73)=SIGN($G73-$I73),1,0)+IF(Z73=$G73,IF(AB73=$I73,2,0),0))</f>
        <v/>
      </c>
      <c r="AD73" s="3">
        <v>2</v>
      </c>
      <c r="AE73" s="1" t="s">
        <v>1</v>
      </c>
      <c r="AF73" s="7">
        <v>1</v>
      </c>
      <c r="AG73" s="11" t="str">
        <f>IF(ISBLANK($I73)=TRUE,"",IF(SIGN(AD73-AF73)=SIGN($G73-$I73),1,0)+IF(AD73=$G73,IF(AF73=$I73,2,0),0))</f>
        <v/>
      </c>
    </row>
    <row r="74" spans="2:33" x14ac:dyDescent="0.25">
      <c r="B74" s="12">
        <v>46191</v>
      </c>
      <c r="C74" s="7" t="s">
        <v>64</v>
      </c>
      <c r="D74" s="3" t="s">
        <v>56</v>
      </c>
      <c r="E74" s="1" t="s">
        <v>1</v>
      </c>
      <c r="F74" s="5" t="s">
        <v>57</v>
      </c>
      <c r="G74" s="3"/>
      <c r="H74" s="1" t="s">
        <v>1</v>
      </c>
      <c r="I74" s="5"/>
      <c r="J74" s="3">
        <v>0</v>
      </c>
      <c r="K74" s="1" t="s">
        <v>1</v>
      </c>
      <c r="L74" s="7">
        <v>3</v>
      </c>
      <c r="M74" s="9" t="str">
        <f t="shared" ref="M74:M78" si="60">IF(ISBLANK($G74)=TRUE,"",IF(SIGN(J74-L74)=SIGN($G74-$I74),1,0)+IF(J74=$G74,IF(L74=$I74,2,0),0))</f>
        <v/>
      </c>
      <c r="N74" s="3">
        <v>1</v>
      </c>
      <c r="O74" s="1" t="s">
        <v>1</v>
      </c>
      <c r="P74" s="7">
        <v>2</v>
      </c>
      <c r="Q74" s="9" t="str">
        <f t="shared" ref="Q74:Q78" si="61">IF(ISBLANK($G74)=TRUE,"",IF(SIGN(N74-P74)=SIGN($G74-$I74),1,0)+IF(N74=$G74,IF(P74=$I74,2,0),0))</f>
        <v/>
      </c>
      <c r="R74" s="3">
        <v>0</v>
      </c>
      <c r="S74" s="1" t="s">
        <v>1</v>
      </c>
      <c r="T74" s="7">
        <v>2</v>
      </c>
      <c r="U74" s="9" t="str">
        <f t="shared" ref="U74:U78" si="62">IF(ISBLANK($G74)=TRUE,"",IF(SIGN(R74-T74)=SIGN($G74-$I74),1,0)+IF(R74=$G74,IF(T74=$I74,2,0),0))</f>
        <v/>
      </c>
      <c r="V74" s="3"/>
      <c r="W74" s="1" t="s">
        <v>1</v>
      </c>
      <c r="X74" s="7"/>
      <c r="Y74" s="9" t="str">
        <f t="shared" ref="Y74:Y78" si="63">IF(ISBLANK($G74)=TRUE,"",IF(SIGN(V74-X74)=SIGN($G74-$I74),1,0)+IF(V74=$G74,IF(X74=$I74,2,0),0))</f>
        <v/>
      </c>
      <c r="Z74" s="3">
        <v>1</v>
      </c>
      <c r="AA74" s="1" t="s">
        <v>1</v>
      </c>
      <c r="AB74" s="7">
        <v>3</v>
      </c>
      <c r="AC74" s="9" t="str">
        <f t="shared" ref="AC74:AC78" si="64">IF(ISBLANK($G74)=TRUE,"",IF(SIGN(Z74-AB74)=SIGN($G74-$I74),1,0)+IF(Z74=$G74,IF(AB74=$I74,2,0),0))</f>
        <v/>
      </c>
      <c r="AD74" s="3">
        <v>0</v>
      </c>
      <c r="AE74" s="1" t="s">
        <v>1</v>
      </c>
      <c r="AF74" s="7">
        <v>2</v>
      </c>
      <c r="AG74" s="9" t="str">
        <f t="shared" ref="AG74:AG78" si="65">IF(ISBLANK($G74)=TRUE,"",IF(SIGN(AD74-AF74)=SIGN($G74-$I74),1,0)+IF(AD74=$G74,IF(AF74=$I74,2,0),0))</f>
        <v/>
      </c>
    </row>
    <row r="75" spans="2:33" x14ac:dyDescent="0.25">
      <c r="B75" s="12">
        <v>46196</v>
      </c>
      <c r="C75" s="7" t="s">
        <v>71</v>
      </c>
      <c r="D75" s="3" t="s">
        <v>54</v>
      </c>
      <c r="E75" s="1" t="s">
        <v>1</v>
      </c>
      <c r="F75" s="5" t="s">
        <v>56</v>
      </c>
      <c r="G75" s="3"/>
      <c r="H75" s="1" t="s">
        <v>1</v>
      </c>
      <c r="I75" s="5"/>
      <c r="J75" s="3">
        <v>3</v>
      </c>
      <c r="K75" s="1" t="s">
        <v>1</v>
      </c>
      <c r="L75" s="7">
        <v>0</v>
      </c>
      <c r="M75" s="9" t="str">
        <f t="shared" si="60"/>
        <v/>
      </c>
      <c r="N75" s="3">
        <v>2</v>
      </c>
      <c r="O75" s="1" t="s">
        <v>1</v>
      </c>
      <c r="P75" s="7">
        <v>1</v>
      </c>
      <c r="Q75" s="9" t="str">
        <f t="shared" si="61"/>
        <v/>
      </c>
      <c r="R75" s="3">
        <v>2</v>
      </c>
      <c r="S75" s="1" t="s">
        <v>1</v>
      </c>
      <c r="T75" s="7">
        <v>0</v>
      </c>
      <c r="U75" s="9" t="str">
        <f t="shared" si="62"/>
        <v/>
      </c>
      <c r="V75" s="3"/>
      <c r="W75" s="1" t="s">
        <v>1</v>
      </c>
      <c r="X75" s="7"/>
      <c r="Y75" s="9" t="str">
        <f t="shared" si="63"/>
        <v/>
      </c>
      <c r="Z75" s="3">
        <v>3</v>
      </c>
      <c r="AA75" s="1" t="s">
        <v>1</v>
      </c>
      <c r="AB75" s="7">
        <v>0</v>
      </c>
      <c r="AC75" s="9" t="str">
        <f t="shared" si="64"/>
        <v/>
      </c>
      <c r="AD75" s="3">
        <v>2</v>
      </c>
      <c r="AE75" s="1" t="s">
        <v>1</v>
      </c>
      <c r="AF75" s="7">
        <v>0</v>
      </c>
      <c r="AG75" s="9" t="str">
        <f t="shared" si="65"/>
        <v/>
      </c>
    </row>
    <row r="76" spans="2:33" x14ac:dyDescent="0.25">
      <c r="B76" s="12">
        <v>46197</v>
      </c>
      <c r="C76" s="7" t="s">
        <v>64</v>
      </c>
      <c r="D76" s="3" t="s">
        <v>57</v>
      </c>
      <c r="E76" s="1" t="s">
        <v>1</v>
      </c>
      <c r="F76" s="5" t="s">
        <v>55</v>
      </c>
      <c r="G76" s="3"/>
      <c r="H76" s="1" t="s">
        <v>1</v>
      </c>
      <c r="I76" s="5"/>
      <c r="J76" s="3">
        <v>2</v>
      </c>
      <c r="K76" s="1" t="s">
        <v>1</v>
      </c>
      <c r="L76" s="7">
        <v>1</v>
      </c>
      <c r="M76" s="9" t="str">
        <f t="shared" si="60"/>
        <v/>
      </c>
      <c r="N76" s="3">
        <v>2</v>
      </c>
      <c r="O76" s="1" t="s">
        <v>1</v>
      </c>
      <c r="P76" s="7">
        <v>1</v>
      </c>
      <c r="Q76" s="9" t="str">
        <f t="shared" si="61"/>
        <v/>
      </c>
      <c r="R76" s="3">
        <v>1</v>
      </c>
      <c r="S76" s="1" t="s">
        <v>1</v>
      </c>
      <c r="T76" s="7">
        <v>1</v>
      </c>
      <c r="U76" s="9" t="str">
        <f t="shared" si="62"/>
        <v/>
      </c>
      <c r="V76" s="3"/>
      <c r="W76" s="1" t="s">
        <v>1</v>
      </c>
      <c r="X76" s="7"/>
      <c r="Y76" s="9" t="str">
        <f t="shared" si="63"/>
        <v/>
      </c>
      <c r="Z76" s="3">
        <v>2</v>
      </c>
      <c r="AA76" s="1" t="s">
        <v>1</v>
      </c>
      <c r="AB76" s="7">
        <v>2</v>
      </c>
      <c r="AC76" s="9" t="str">
        <f t="shared" si="64"/>
        <v/>
      </c>
      <c r="AD76" s="3">
        <v>2</v>
      </c>
      <c r="AE76" s="1" t="s">
        <v>1</v>
      </c>
      <c r="AF76" s="7">
        <v>0</v>
      </c>
      <c r="AG76" s="9" t="str">
        <f t="shared" si="65"/>
        <v/>
      </c>
    </row>
    <row r="77" spans="2:33" x14ac:dyDescent="0.25">
      <c r="B77" s="12">
        <v>46201</v>
      </c>
      <c r="C77" s="7" t="s">
        <v>76</v>
      </c>
      <c r="D77" s="3" t="s">
        <v>57</v>
      </c>
      <c r="E77" s="1" t="s">
        <v>1</v>
      </c>
      <c r="F77" s="5" t="s">
        <v>54</v>
      </c>
      <c r="G77" s="3"/>
      <c r="H77" s="1" t="s">
        <v>1</v>
      </c>
      <c r="I77" s="5"/>
      <c r="J77" s="3">
        <v>1</v>
      </c>
      <c r="K77" s="1" t="s">
        <v>1</v>
      </c>
      <c r="L77" s="7">
        <v>1</v>
      </c>
      <c r="M77" s="9" t="str">
        <f t="shared" si="60"/>
        <v/>
      </c>
      <c r="N77" s="3">
        <v>1</v>
      </c>
      <c r="O77" s="1" t="s">
        <v>1</v>
      </c>
      <c r="P77" s="7">
        <v>2</v>
      </c>
      <c r="Q77" s="9" t="str">
        <f t="shared" si="61"/>
        <v/>
      </c>
      <c r="R77" s="3">
        <v>1</v>
      </c>
      <c r="S77" s="1" t="s">
        <v>1</v>
      </c>
      <c r="T77" s="7">
        <v>1</v>
      </c>
      <c r="U77" s="9" t="str">
        <f t="shared" si="62"/>
        <v/>
      </c>
      <c r="V77" s="3"/>
      <c r="W77" s="1" t="s">
        <v>1</v>
      </c>
      <c r="X77" s="7"/>
      <c r="Y77" s="9" t="str">
        <f t="shared" si="63"/>
        <v/>
      </c>
      <c r="Z77" s="3">
        <v>1</v>
      </c>
      <c r="AA77" s="1" t="s">
        <v>1</v>
      </c>
      <c r="AB77" s="7">
        <v>1</v>
      </c>
      <c r="AC77" s="9" t="str">
        <f t="shared" si="64"/>
        <v/>
      </c>
      <c r="AD77" s="3">
        <v>0</v>
      </c>
      <c r="AE77" s="1" t="s">
        <v>1</v>
      </c>
      <c r="AF77" s="7">
        <v>0</v>
      </c>
      <c r="AG77" s="9" t="str">
        <f t="shared" si="65"/>
        <v/>
      </c>
    </row>
    <row r="78" spans="2:33" ht="15.75" thickBot="1" x14ac:dyDescent="0.3">
      <c r="B78" s="13">
        <v>46201</v>
      </c>
      <c r="C78" s="8" t="s">
        <v>76</v>
      </c>
      <c r="D78" s="4" t="s">
        <v>55</v>
      </c>
      <c r="E78" s="2" t="s">
        <v>1</v>
      </c>
      <c r="F78" s="6" t="s">
        <v>56</v>
      </c>
      <c r="G78" s="4"/>
      <c r="H78" s="2" t="s">
        <v>1</v>
      </c>
      <c r="I78" s="6"/>
      <c r="J78" s="4">
        <v>1</v>
      </c>
      <c r="K78" s="2" t="s">
        <v>1</v>
      </c>
      <c r="L78" s="8">
        <v>0</v>
      </c>
      <c r="M78" s="10" t="str">
        <f t="shared" si="60"/>
        <v/>
      </c>
      <c r="N78" s="4">
        <v>2</v>
      </c>
      <c r="O78" s="2" t="s">
        <v>1</v>
      </c>
      <c r="P78" s="8">
        <v>1</v>
      </c>
      <c r="Q78" s="10" t="str">
        <f t="shared" si="61"/>
        <v/>
      </c>
      <c r="R78" s="4">
        <v>2</v>
      </c>
      <c r="S78" s="2" t="s">
        <v>1</v>
      </c>
      <c r="T78" s="8">
        <v>0</v>
      </c>
      <c r="U78" s="10" t="str">
        <f t="shared" si="62"/>
        <v/>
      </c>
      <c r="V78" s="4"/>
      <c r="W78" s="2" t="s">
        <v>1</v>
      </c>
      <c r="X78" s="8"/>
      <c r="Y78" s="10" t="str">
        <f t="shared" si="63"/>
        <v/>
      </c>
      <c r="Z78" s="4">
        <v>0</v>
      </c>
      <c r="AA78" s="2" t="s">
        <v>1</v>
      </c>
      <c r="AB78" s="8">
        <v>0</v>
      </c>
      <c r="AC78" s="10" t="str">
        <f t="shared" si="64"/>
        <v/>
      </c>
      <c r="AD78" s="4">
        <v>3</v>
      </c>
      <c r="AE78" s="2" t="s">
        <v>1</v>
      </c>
      <c r="AF78" s="8">
        <v>1</v>
      </c>
      <c r="AG78" s="10" t="str">
        <f t="shared" si="65"/>
        <v/>
      </c>
    </row>
    <row r="79" spans="2:33" ht="15.75" thickBot="1" x14ac:dyDescent="0.3">
      <c r="B79" s="70" t="s">
        <v>77</v>
      </c>
      <c r="C79" s="71" t="s">
        <v>78</v>
      </c>
      <c r="D79" s="102" t="s">
        <v>58</v>
      </c>
      <c r="E79" s="103"/>
      <c r="F79" s="104"/>
      <c r="G79" s="72" t="s">
        <v>7</v>
      </c>
      <c r="H79" s="73"/>
      <c r="I79" s="74"/>
      <c r="J79" s="34"/>
      <c r="K79" s="36"/>
      <c r="L79" s="36"/>
      <c r="M79" s="35"/>
      <c r="N79" s="44"/>
      <c r="O79" s="45"/>
      <c r="P79" s="45"/>
      <c r="Q79" s="46"/>
      <c r="R79" s="41"/>
      <c r="S79" s="42"/>
      <c r="T79" s="42"/>
      <c r="U79" s="43"/>
      <c r="V79" s="53"/>
      <c r="W79" s="54"/>
      <c r="X79" s="54"/>
      <c r="Y79" s="55"/>
      <c r="Z79" s="50"/>
      <c r="AA79" s="51"/>
      <c r="AB79" s="51"/>
      <c r="AC79" s="52"/>
      <c r="AD79" s="83"/>
      <c r="AE79" s="84"/>
      <c r="AF79" s="84"/>
      <c r="AG79" s="85"/>
    </row>
    <row r="80" spans="2:33" x14ac:dyDescent="0.25">
      <c r="B80" s="12">
        <v>46190</v>
      </c>
      <c r="C80" s="7" t="s">
        <v>73</v>
      </c>
      <c r="D80" s="3" t="s">
        <v>59</v>
      </c>
      <c r="E80" s="1" t="s">
        <v>1</v>
      </c>
      <c r="F80" s="5" t="s">
        <v>60</v>
      </c>
      <c r="G80" s="3"/>
      <c r="H80" s="1" t="s">
        <v>1</v>
      </c>
      <c r="I80" s="5"/>
      <c r="J80" s="3">
        <v>2</v>
      </c>
      <c r="K80" s="1" t="s">
        <v>1</v>
      </c>
      <c r="L80" s="7">
        <v>0</v>
      </c>
      <c r="M80" s="11" t="str">
        <f>IF(ISBLANK($I80)=TRUE,"",IF(SIGN(J80-L80)=SIGN($G80-$I80),1,0)+IF(J80=$G80,IF(L80=$I80,2,0),0))</f>
        <v/>
      </c>
      <c r="N80" s="3">
        <v>2</v>
      </c>
      <c r="O80" s="1" t="s">
        <v>1</v>
      </c>
      <c r="P80" s="7">
        <v>0</v>
      </c>
      <c r="Q80" s="11" t="str">
        <f>IF(ISBLANK($I80)=TRUE,"",IF(SIGN(N80-P80)=SIGN($G80-$I80),1,0)+IF(N80=$G80,IF(P80=$I80,2,0),0))</f>
        <v/>
      </c>
      <c r="R80" s="3">
        <v>2</v>
      </c>
      <c r="S80" s="1" t="s">
        <v>1</v>
      </c>
      <c r="T80" s="7">
        <v>2</v>
      </c>
      <c r="U80" s="11" t="str">
        <f>IF(ISBLANK($I80)=TRUE,"",IF(SIGN(R80-T80)=SIGN($G80-$I80),1,0)+IF(R80=$G80,IF(T80=$I80,2,0),0))</f>
        <v/>
      </c>
      <c r="V80" s="3"/>
      <c r="W80" s="1" t="s">
        <v>1</v>
      </c>
      <c r="X80" s="7"/>
      <c r="Y80" s="11" t="str">
        <f>IF(ISBLANK($I80)=TRUE,"",IF(SIGN(V80-X80)=SIGN($G80-$I80),1,0)+IF(V80=$G80,IF(X80=$I80,2,0),0))</f>
        <v/>
      </c>
      <c r="Z80" s="3">
        <v>2</v>
      </c>
      <c r="AA80" s="1" t="s">
        <v>1</v>
      </c>
      <c r="AB80" s="7">
        <v>0</v>
      </c>
      <c r="AC80" s="11" t="str">
        <f>IF(ISBLANK($I80)=TRUE,"",IF(SIGN(Z80-AB80)=SIGN($G80-$I80),1,0)+IF(Z80=$G80,IF(AB80=$I80,2,0),0))</f>
        <v/>
      </c>
      <c r="AD80" s="3">
        <v>1</v>
      </c>
      <c r="AE80" s="1" t="s">
        <v>1</v>
      </c>
      <c r="AF80" s="7">
        <v>0</v>
      </c>
      <c r="AG80" s="11" t="str">
        <f>IF(ISBLANK($I80)=TRUE,"",IF(SIGN(AD80-AF80)=SIGN($G80-$I80),1,0)+IF(AD80=$G80,IF(AF80=$I80,2,0),0))</f>
        <v/>
      </c>
    </row>
    <row r="81" spans="2:33" x14ac:dyDescent="0.25">
      <c r="B81" s="12">
        <v>46191</v>
      </c>
      <c r="C81" s="7" t="s">
        <v>72</v>
      </c>
      <c r="D81" s="3" t="s">
        <v>61</v>
      </c>
      <c r="E81" s="1" t="s">
        <v>1</v>
      </c>
      <c r="F81" s="5" t="s">
        <v>62</v>
      </c>
      <c r="G81" s="3"/>
      <c r="H81" s="1" t="s">
        <v>1</v>
      </c>
      <c r="I81" s="5"/>
      <c r="J81" s="3">
        <v>1</v>
      </c>
      <c r="K81" s="1" t="s">
        <v>1</v>
      </c>
      <c r="L81" s="7">
        <v>0</v>
      </c>
      <c r="M81" s="9" t="str">
        <f t="shared" ref="M81:M85" si="66">IF(ISBLANK($G81)=TRUE,"",IF(SIGN(J81-L81)=SIGN($G81-$I81),1,0)+IF(J81=$G81,IF(L81=$I81,2,0),0))</f>
        <v/>
      </c>
      <c r="N81" s="3">
        <v>2</v>
      </c>
      <c r="O81" s="1" t="s">
        <v>1</v>
      </c>
      <c r="P81" s="7">
        <v>1</v>
      </c>
      <c r="Q81" s="9" t="str">
        <f t="shared" ref="Q81:Q85" si="67">IF(ISBLANK($G81)=TRUE,"",IF(SIGN(N81-P81)=SIGN($G81-$I81),1,0)+IF(N81=$G81,IF(P81=$I81,2,0),0))</f>
        <v/>
      </c>
      <c r="R81" s="3">
        <v>3</v>
      </c>
      <c r="S81" s="1" t="s">
        <v>1</v>
      </c>
      <c r="T81" s="7">
        <v>0</v>
      </c>
      <c r="U81" s="9" t="str">
        <f t="shared" ref="U81:U85" si="68">IF(ISBLANK($G81)=TRUE,"",IF(SIGN(R81-T81)=SIGN($G81-$I81),1,0)+IF(R81=$G81,IF(T81=$I81,2,0),0))</f>
        <v/>
      </c>
      <c r="V81" s="3"/>
      <c r="W81" s="1" t="s">
        <v>1</v>
      </c>
      <c r="X81" s="7"/>
      <c r="Y81" s="9" t="str">
        <f t="shared" ref="Y81:Y85" si="69">IF(ISBLANK($G81)=TRUE,"",IF(SIGN(V81-X81)=SIGN($G81-$I81),1,0)+IF(V81=$G81,IF(X81=$I81,2,0),0))</f>
        <v/>
      </c>
      <c r="Z81" s="3">
        <v>1</v>
      </c>
      <c r="AA81" s="1" t="s">
        <v>1</v>
      </c>
      <c r="AB81" s="7">
        <v>0</v>
      </c>
      <c r="AC81" s="9" t="str">
        <f t="shared" ref="AC81:AC85" si="70">IF(ISBLANK($G81)=TRUE,"",IF(SIGN(Z81-AB81)=SIGN($G81-$I81),1,0)+IF(Z81=$G81,IF(AB81=$I81,2,0),0))</f>
        <v/>
      </c>
      <c r="AD81" s="3">
        <v>2</v>
      </c>
      <c r="AE81" s="1" t="s">
        <v>1</v>
      </c>
      <c r="AF81" s="7">
        <v>0</v>
      </c>
      <c r="AG81" s="9" t="str">
        <f t="shared" ref="AG81:AG85" si="71">IF(ISBLANK($G81)=TRUE,"",IF(SIGN(AD81-AF81)=SIGN($G81-$I81),1,0)+IF(AD81=$G81,IF(AF81=$I81,2,0),0))</f>
        <v/>
      </c>
    </row>
    <row r="82" spans="2:33" x14ac:dyDescent="0.25">
      <c r="B82" s="12">
        <v>46196</v>
      </c>
      <c r="C82" s="7" t="s">
        <v>73</v>
      </c>
      <c r="D82" s="3" t="s">
        <v>59</v>
      </c>
      <c r="E82" s="1" t="s">
        <v>1</v>
      </c>
      <c r="F82" s="5" t="s">
        <v>61</v>
      </c>
      <c r="G82" s="3"/>
      <c r="H82" s="1" t="s">
        <v>1</v>
      </c>
      <c r="I82" s="5"/>
      <c r="J82" s="3">
        <v>2</v>
      </c>
      <c r="K82" s="1" t="s">
        <v>1</v>
      </c>
      <c r="L82" s="7">
        <v>0</v>
      </c>
      <c r="M82" s="9" t="str">
        <f t="shared" si="66"/>
        <v/>
      </c>
      <c r="N82" s="3">
        <v>2</v>
      </c>
      <c r="O82" s="1" t="s">
        <v>1</v>
      </c>
      <c r="P82" s="7">
        <v>1</v>
      </c>
      <c r="Q82" s="9" t="str">
        <f t="shared" si="67"/>
        <v/>
      </c>
      <c r="R82" s="3">
        <v>3</v>
      </c>
      <c r="S82" s="1" t="s">
        <v>1</v>
      </c>
      <c r="T82" s="7">
        <v>1</v>
      </c>
      <c r="U82" s="9" t="str">
        <f t="shared" si="68"/>
        <v/>
      </c>
      <c r="V82" s="3"/>
      <c r="W82" s="1" t="s">
        <v>1</v>
      </c>
      <c r="X82" s="7"/>
      <c r="Y82" s="9" t="str">
        <f t="shared" si="69"/>
        <v/>
      </c>
      <c r="Z82" s="3">
        <v>3</v>
      </c>
      <c r="AA82" s="1" t="s">
        <v>1</v>
      </c>
      <c r="AB82" s="7">
        <v>0</v>
      </c>
      <c r="AC82" s="9" t="str">
        <f t="shared" si="70"/>
        <v/>
      </c>
      <c r="AD82" s="3">
        <v>3</v>
      </c>
      <c r="AE82" s="1" t="s">
        <v>1</v>
      </c>
      <c r="AF82" s="7">
        <v>1</v>
      </c>
      <c r="AG82" s="9" t="str">
        <f t="shared" si="71"/>
        <v/>
      </c>
    </row>
    <row r="83" spans="2:33" x14ac:dyDescent="0.25">
      <c r="B83" s="12">
        <v>46197</v>
      </c>
      <c r="C83" s="7" t="s">
        <v>72</v>
      </c>
      <c r="D83" s="3" t="s">
        <v>62</v>
      </c>
      <c r="E83" s="1" t="s">
        <v>1</v>
      </c>
      <c r="F83" s="5" t="s">
        <v>60</v>
      </c>
      <c r="G83" s="3"/>
      <c r="H83" s="1" t="s">
        <v>1</v>
      </c>
      <c r="I83" s="5"/>
      <c r="J83" s="3">
        <v>0</v>
      </c>
      <c r="K83" s="1" t="s">
        <v>1</v>
      </c>
      <c r="L83" s="7">
        <v>2</v>
      </c>
      <c r="M83" s="9" t="str">
        <f t="shared" si="66"/>
        <v/>
      </c>
      <c r="N83" s="3">
        <v>1</v>
      </c>
      <c r="O83" s="1" t="s">
        <v>1</v>
      </c>
      <c r="P83" s="7">
        <v>2</v>
      </c>
      <c r="Q83" s="9" t="str">
        <f t="shared" si="67"/>
        <v/>
      </c>
      <c r="R83" s="3">
        <v>0</v>
      </c>
      <c r="S83" s="1" t="s">
        <v>1</v>
      </c>
      <c r="T83" s="7">
        <v>2</v>
      </c>
      <c r="U83" s="9" t="str">
        <f t="shared" si="68"/>
        <v/>
      </c>
      <c r="V83" s="3"/>
      <c r="W83" s="1" t="s">
        <v>1</v>
      </c>
      <c r="X83" s="7"/>
      <c r="Y83" s="9" t="str">
        <f t="shared" si="69"/>
        <v/>
      </c>
      <c r="Z83" s="3">
        <v>1</v>
      </c>
      <c r="AA83" s="1" t="s">
        <v>1</v>
      </c>
      <c r="AB83" s="7">
        <v>1</v>
      </c>
      <c r="AC83" s="9" t="str">
        <f t="shared" si="70"/>
        <v/>
      </c>
      <c r="AD83" s="3">
        <v>0</v>
      </c>
      <c r="AE83" s="1" t="s">
        <v>1</v>
      </c>
      <c r="AF83" s="7">
        <v>1</v>
      </c>
      <c r="AG83" s="9" t="str">
        <f t="shared" si="71"/>
        <v/>
      </c>
    </row>
    <row r="84" spans="2:33" x14ac:dyDescent="0.25">
      <c r="B84" s="12">
        <v>46200</v>
      </c>
      <c r="C84" s="7" t="s">
        <v>75</v>
      </c>
      <c r="D84" s="3" t="s">
        <v>62</v>
      </c>
      <c r="E84" s="1" t="s">
        <v>1</v>
      </c>
      <c r="F84" s="5" t="s">
        <v>59</v>
      </c>
      <c r="G84" s="3"/>
      <c r="H84" s="1" t="s">
        <v>1</v>
      </c>
      <c r="I84" s="5"/>
      <c r="J84" s="3">
        <v>0</v>
      </c>
      <c r="K84" s="1" t="s">
        <v>1</v>
      </c>
      <c r="L84" s="7">
        <v>3</v>
      </c>
      <c r="M84" s="9" t="str">
        <f t="shared" si="66"/>
        <v/>
      </c>
      <c r="N84" s="3">
        <v>0</v>
      </c>
      <c r="O84" s="1" t="s">
        <v>1</v>
      </c>
      <c r="P84" s="7">
        <v>2</v>
      </c>
      <c r="Q84" s="9" t="str">
        <f t="shared" si="67"/>
        <v/>
      </c>
      <c r="R84" s="3">
        <v>0</v>
      </c>
      <c r="S84" s="1" t="s">
        <v>1</v>
      </c>
      <c r="T84" s="7">
        <v>2</v>
      </c>
      <c r="U84" s="9" t="str">
        <f t="shared" si="68"/>
        <v/>
      </c>
      <c r="V84" s="3"/>
      <c r="W84" s="1" t="s">
        <v>1</v>
      </c>
      <c r="X84" s="7"/>
      <c r="Y84" s="9" t="str">
        <f t="shared" si="69"/>
        <v/>
      </c>
      <c r="Z84" s="3">
        <v>0</v>
      </c>
      <c r="AA84" s="1" t="s">
        <v>1</v>
      </c>
      <c r="AB84" s="7">
        <v>1</v>
      </c>
      <c r="AC84" s="9" t="str">
        <f t="shared" si="70"/>
        <v/>
      </c>
      <c r="AD84" s="3">
        <v>0</v>
      </c>
      <c r="AE84" s="1" t="s">
        <v>1</v>
      </c>
      <c r="AF84" s="7">
        <v>3</v>
      </c>
      <c r="AG84" s="9" t="str">
        <f t="shared" si="71"/>
        <v/>
      </c>
    </row>
    <row r="85" spans="2:33" ht="15.75" thickBot="1" x14ac:dyDescent="0.3">
      <c r="B85" s="13">
        <v>46200</v>
      </c>
      <c r="C85" s="8" t="s">
        <v>75</v>
      </c>
      <c r="D85" s="4" t="s">
        <v>60</v>
      </c>
      <c r="E85" s="2" t="s">
        <v>1</v>
      </c>
      <c r="F85" s="6" t="s">
        <v>61</v>
      </c>
      <c r="G85" s="4"/>
      <c r="H85" s="2" t="s">
        <v>1</v>
      </c>
      <c r="I85" s="6"/>
      <c r="J85" s="4">
        <v>1</v>
      </c>
      <c r="K85" s="2" t="s">
        <v>1</v>
      </c>
      <c r="L85" s="8">
        <v>0</v>
      </c>
      <c r="M85" s="10" t="str">
        <f t="shared" si="66"/>
        <v/>
      </c>
      <c r="N85" s="4">
        <v>1</v>
      </c>
      <c r="O85" s="2" t="s">
        <v>1</v>
      </c>
      <c r="P85" s="8">
        <v>2</v>
      </c>
      <c r="Q85" s="10" t="str">
        <f t="shared" si="67"/>
        <v/>
      </c>
      <c r="R85" s="4">
        <v>1</v>
      </c>
      <c r="S85" s="2" t="s">
        <v>1</v>
      </c>
      <c r="T85" s="8">
        <v>1</v>
      </c>
      <c r="U85" s="10" t="str">
        <f t="shared" si="68"/>
        <v/>
      </c>
      <c r="V85" s="4"/>
      <c r="W85" s="2" t="s">
        <v>1</v>
      </c>
      <c r="X85" s="8"/>
      <c r="Y85" s="10" t="str">
        <f t="shared" si="69"/>
        <v/>
      </c>
      <c r="Z85" s="4">
        <v>2</v>
      </c>
      <c r="AA85" s="2" t="s">
        <v>1</v>
      </c>
      <c r="AB85" s="8">
        <v>0</v>
      </c>
      <c r="AC85" s="10" t="str">
        <f t="shared" si="70"/>
        <v/>
      </c>
      <c r="AD85" s="4">
        <v>1</v>
      </c>
      <c r="AE85" s="2" t="s">
        <v>1</v>
      </c>
      <c r="AF85" s="8">
        <v>1</v>
      </c>
      <c r="AG85" s="10" t="str">
        <f t="shared" si="71"/>
        <v/>
      </c>
    </row>
    <row r="86" spans="2:33" ht="15.75" thickBot="1" x14ac:dyDescent="0.3">
      <c r="B86" s="105" t="s">
        <v>127</v>
      </c>
      <c r="C86" s="106"/>
      <c r="D86" s="106"/>
      <c r="E86" s="106"/>
      <c r="F86" s="106"/>
      <c r="G86" s="106"/>
      <c r="H86" s="106"/>
      <c r="I86" s="107"/>
      <c r="J86" s="108">
        <f>SUM(M3:M85)</f>
        <v>0</v>
      </c>
      <c r="K86" s="109"/>
      <c r="L86" s="109"/>
      <c r="M86" s="110"/>
      <c r="N86" s="111">
        <f>SUM(Q3:Q85)</f>
        <v>0</v>
      </c>
      <c r="O86" s="112"/>
      <c r="P86" s="112"/>
      <c r="Q86" s="113"/>
      <c r="R86" s="117">
        <f>SUM(U3:U85)</f>
        <v>0</v>
      </c>
      <c r="S86" s="118"/>
      <c r="T86" s="118"/>
      <c r="U86" s="119"/>
      <c r="V86" s="120">
        <f>SUM(Y3:Y85)</f>
        <v>0</v>
      </c>
      <c r="W86" s="121"/>
      <c r="X86" s="121"/>
      <c r="Y86" s="122"/>
      <c r="Z86" s="114">
        <f>SUM(AC3:AC85)</f>
        <v>0</v>
      </c>
      <c r="AA86" s="115"/>
      <c r="AB86" s="115"/>
      <c r="AC86" s="116"/>
      <c r="AD86" s="99">
        <f>SUM(AG3:AG85)</f>
        <v>0</v>
      </c>
      <c r="AE86" s="100"/>
      <c r="AF86" s="100"/>
      <c r="AG86" s="101"/>
    </row>
    <row r="87" spans="2:33" x14ac:dyDescent="0.25">
      <c r="E87" s="47"/>
    </row>
    <row r="88" spans="2:33" x14ac:dyDescent="0.25">
      <c r="E88" s="47"/>
    </row>
    <row r="89" spans="2:33" x14ac:dyDescent="0.25">
      <c r="E89" s="47"/>
    </row>
    <row r="90" spans="2:33" x14ac:dyDescent="0.25">
      <c r="E90" s="47"/>
    </row>
    <row r="91" spans="2:33" x14ac:dyDescent="0.25">
      <c r="E91" s="47"/>
    </row>
    <row r="92" spans="2:33" x14ac:dyDescent="0.25">
      <c r="E92" s="47"/>
    </row>
    <row r="93" spans="2:33" x14ac:dyDescent="0.25">
      <c r="E93" s="47"/>
    </row>
    <row r="94" spans="2:33" x14ac:dyDescent="0.25">
      <c r="E94" s="47"/>
    </row>
    <row r="95" spans="2:33" x14ac:dyDescent="0.25">
      <c r="E95" s="47"/>
    </row>
    <row r="96" spans="2:33" x14ac:dyDescent="0.25">
      <c r="E96" s="47"/>
    </row>
    <row r="97" spans="5:5" x14ac:dyDescent="0.25">
      <c r="E97" s="47"/>
    </row>
    <row r="98" spans="5:5" x14ac:dyDescent="0.25">
      <c r="E98" s="47"/>
    </row>
    <row r="99" spans="5:5" x14ac:dyDescent="0.25">
      <c r="E99" s="47"/>
    </row>
    <row r="100" spans="5:5" x14ac:dyDescent="0.25">
      <c r="E100" s="47"/>
    </row>
    <row r="101" spans="5:5" x14ac:dyDescent="0.25">
      <c r="E101" s="47"/>
    </row>
    <row r="102" spans="5:5" x14ac:dyDescent="0.25">
      <c r="E102" s="47"/>
    </row>
    <row r="103" spans="5:5" x14ac:dyDescent="0.25">
      <c r="E103" s="47"/>
    </row>
    <row r="104" spans="5:5" x14ac:dyDescent="0.25">
      <c r="E104" s="47"/>
    </row>
    <row r="105" spans="5:5" x14ac:dyDescent="0.25">
      <c r="E105" s="47"/>
    </row>
    <row r="106" spans="5:5" x14ac:dyDescent="0.25">
      <c r="E106" s="47"/>
    </row>
    <row r="107" spans="5:5" x14ac:dyDescent="0.25">
      <c r="E107" s="47"/>
    </row>
    <row r="108" spans="5:5" x14ac:dyDescent="0.25">
      <c r="E108" s="47"/>
    </row>
    <row r="109" spans="5:5" x14ac:dyDescent="0.25">
      <c r="E109" s="47"/>
    </row>
    <row r="110" spans="5:5" x14ac:dyDescent="0.25">
      <c r="E110" s="47"/>
    </row>
    <row r="111" spans="5:5" x14ac:dyDescent="0.25">
      <c r="E111" s="47"/>
    </row>
    <row r="112" spans="5:5" x14ac:dyDescent="0.25">
      <c r="E112" s="47"/>
    </row>
    <row r="113" spans="5:5" x14ac:dyDescent="0.25">
      <c r="E113" s="47"/>
    </row>
    <row r="114" spans="5:5" x14ac:dyDescent="0.25">
      <c r="E114" s="47"/>
    </row>
    <row r="115" spans="5:5" x14ac:dyDescent="0.25">
      <c r="E115" s="47"/>
    </row>
    <row r="116" spans="5:5" x14ac:dyDescent="0.25">
      <c r="E116" s="47"/>
    </row>
    <row r="117" spans="5:5" x14ac:dyDescent="0.25">
      <c r="E117" s="47"/>
    </row>
    <row r="118" spans="5:5" x14ac:dyDescent="0.25">
      <c r="E118" s="47"/>
    </row>
    <row r="119" spans="5:5" x14ac:dyDescent="0.25">
      <c r="E119" s="47"/>
    </row>
    <row r="120" spans="5:5" x14ac:dyDescent="0.25">
      <c r="E120" s="47"/>
    </row>
    <row r="121" spans="5:5" x14ac:dyDescent="0.25">
      <c r="E121" s="47"/>
    </row>
  </sheetData>
  <mergeCells count="25">
    <mergeCell ref="D9:F9"/>
    <mergeCell ref="N2:Q2"/>
    <mergeCell ref="N86:Q86"/>
    <mergeCell ref="Z2:AC2"/>
    <mergeCell ref="Z86:AC86"/>
    <mergeCell ref="R2:U2"/>
    <mergeCell ref="R86:U86"/>
    <mergeCell ref="V2:Y2"/>
    <mergeCell ref="V86:Y86"/>
    <mergeCell ref="AD2:AG2"/>
    <mergeCell ref="AD86:AG86"/>
    <mergeCell ref="D51:F51"/>
    <mergeCell ref="B86:I86"/>
    <mergeCell ref="J86:M86"/>
    <mergeCell ref="D44:F44"/>
    <mergeCell ref="D65:F65"/>
    <mergeCell ref="D58:F58"/>
    <mergeCell ref="D79:F79"/>
    <mergeCell ref="D72:F72"/>
    <mergeCell ref="D37:F37"/>
    <mergeCell ref="D30:F30"/>
    <mergeCell ref="D23:F23"/>
    <mergeCell ref="D2:F2"/>
    <mergeCell ref="J2:M2"/>
    <mergeCell ref="D16:F16"/>
  </mergeCells>
  <conditionalFormatting sqref="M3:M8 M10:M15 M17:M22 M24:M29 M31:M36 M38:M43 M45:M50 M52:M57 M59:M64 M66:M71 M73:M78 M80:M85">
    <cfRule type="colorScale" priority="8">
      <colorScale>
        <cfvo type="num" val="0"/>
        <cfvo type="num" val="3"/>
        <color theme="0"/>
        <color theme="9"/>
      </colorScale>
    </cfRule>
  </conditionalFormatting>
  <conditionalFormatting sqref="Q3:Q8 Q80:Q85 Q10:Q15 Q17:Q22 Q24:Q29 Q31:Q36 Q38:Q43 Q45:Q50 Q52:Q57 Q59:Q64 Q66:Q71 Q73:Q78">
    <cfRule type="colorScale" priority="3">
      <colorScale>
        <cfvo type="num" val="0"/>
        <cfvo type="num" val="3"/>
        <color theme="0"/>
        <color theme="9"/>
      </colorScale>
    </cfRule>
  </conditionalFormatting>
  <conditionalFormatting sqref="U3:U8 U80:U85 U10:U15 U17:U22 U24:U29 U31:U36 U38:U43 U45:U50 U52:U57 U59:U64 U66:U71 U73:U78">
    <cfRule type="colorScale" priority="7">
      <colorScale>
        <cfvo type="num" val="0"/>
        <cfvo type="num" val="3"/>
        <color theme="0"/>
        <color theme="9"/>
      </colorScale>
    </cfRule>
  </conditionalFormatting>
  <conditionalFormatting sqref="Y3:Y8 Y80:Y85 Y10:Y15 Y17:Y22 Y24:Y29 Y31:Y36 Y38:Y43 Y45:Y50 Y52:Y57 Y59:Y64 Y66:Y71 Y73:Y78">
    <cfRule type="colorScale" priority="1">
      <colorScale>
        <cfvo type="num" val="0"/>
        <cfvo type="num" val="3"/>
        <color theme="0"/>
        <color theme="9"/>
      </colorScale>
    </cfRule>
  </conditionalFormatting>
  <conditionalFormatting sqref="AC3:AC8 AC80:AC85 AC10:AC15 AC17:AC22 AC24:AC29 AC31:AC36 AC38:AC43 AC45:AC50 AC52:AC57 AC59:AC64 AC66:AC71 AC73:AC78 AG3:AG8 AG80:AG85 AG10:AG15 AG17:AG22 AG24:AG29 AG31:AG36 AG38:AG43 AG45:AG50 AG52:AG57 AG59:AG64 AG66:AG71 AG73:AG78">
    <cfRule type="colorScale" priority="2">
      <colorScale>
        <cfvo type="num" val="0"/>
        <cfvo type="num" val="3"/>
        <color theme="0"/>
        <color theme="9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0114-FB52-48EB-B9E8-BE1CEF0426EF}">
  <dimension ref="B1:AG58"/>
  <sheetViews>
    <sheetView topLeftCell="A21" workbookViewId="0">
      <selection activeCell="AD40" sqref="AD40:AG40"/>
    </sheetView>
  </sheetViews>
  <sheetFormatPr defaultColWidth="11.42578125" defaultRowHeight="15" x14ac:dyDescent="0.25"/>
  <cols>
    <col min="1" max="1" width="4" style="47" customWidth="1"/>
    <col min="2" max="2" width="7.140625" style="48" bestFit="1" customWidth="1"/>
    <col min="3" max="3" width="5.5703125" style="47" bestFit="1" customWidth="1"/>
    <col min="4" max="4" width="18.85546875" style="47" bestFit="1" customWidth="1"/>
    <col min="5" max="5" width="1.7109375" style="49" bestFit="1" customWidth="1"/>
    <col min="6" max="6" width="18.85546875" style="47" bestFit="1" customWidth="1"/>
    <col min="7" max="7" width="3.5703125" style="47" customWidth="1"/>
    <col min="8" max="8" width="1.42578125" style="47" customWidth="1"/>
    <col min="9" max="9" width="3.5703125" style="47" customWidth="1"/>
    <col min="10" max="10" width="3.140625" style="47" customWidth="1"/>
    <col min="11" max="11" width="1.42578125" style="47" customWidth="1"/>
    <col min="12" max="12" width="3.140625" style="47" customWidth="1"/>
    <col min="13" max="13" width="2.85546875" style="47" customWidth="1"/>
    <col min="14" max="14" width="3.140625" style="47" customWidth="1"/>
    <col min="15" max="15" width="1.42578125" style="47" customWidth="1"/>
    <col min="16" max="16" width="3.140625" style="47" customWidth="1"/>
    <col min="17" max="17" width="2.85546875" style="47" customWidth="1"/>
    <col min="18" max="18" width="3.140625" style="47" customWidth="1"/>
    <col min="19" max="19" width="1.42578125" style="47" customWidth="1"/>
    <col min="20" max="20" width="3.140625" style="47" customWidth="1"/>
    <col min="21" max="21" width="2.85546875" style="47" customWidth="1"/>
    <col min="22" max="22" width="3.140625" style="47" customWidth="1"/>
    <col min="23" max="23" width="1.42578125" style="47" customWidth="1"/>
    <col min="24" max="24" width="3.140625" style="47" customWidth="1"/>
    <col min="25" max="25" width="2.85546875" style="47" customWidth="1"/>
    <col min="26" max="26" width="3.140625" style="47" customWidth="1"/>
    <col min="27" max="27" width="1.42578125" style="47" customWidth="1"/>
    <col min="28" max="28" width="3.140625" style="47" customWidth="1"/>
    <col min="29" max="29" width="2.85546875" style="47" customWidth="1"/>
    <col min="30" max="30" width="3.140625" style="47" customWidth="1"/>
    <col min="31" max="31" width="1.42578125" style="47" customWidth="1"/>
    <col min="32" max="32" width="3.140625" style="47" customWidth="1"/>
    <col min="33" max="33" width="2.85546875" style="47" customWidth="1"/>
    <col min="34" max="16384" width="11.42578125" style="47"/>
  </cols>
  <sheetData>
    <row r="1" spans="2:33" ht="15.75" thickBot="1" x14ac:dyDescent="0.3"/>
    <row r="2" spans="2:33" ht="15.75" thickBot="1" x14ac:dyDescent="0.3">
      <c r="B2" s="75" t="s">
        <v>77</v>
      </c>
      <c r="C2" s="76" t="s">
        <v>78</v>
      </c>
      <c r="D2" s="123" t="s">
        <v>118</v>
      </c>
      <c r="E2" s="124"/>
      <c r="F2" s="125"/>
      <c r="G2" s="72" t="s">
        <v>7</v>
      </c>
      <c r="H2" s="73"/>
      <c r="I2" s="74"/>
      <c r="J2" s="108" t="s">
        <v>6</v>
      </c>
      <c r="K2" s="109"/>
      <c r="L2" s="109"/>
      <c r="M2" s="110"/>
      <c r="N2" s="111" t="s">
        <v>139</v>
      </c>
      <c r="O2" s="112"/>
      <c r="P2" s="112"/>
      <c r="Q2" s="113"/>
      <c r="R2" s="117" t="s">
        <v>137</v>
      </c>
      <c r="S2" s="118"/>
      <c r="T2" s="118"/>
      <c r="U2" s="119"/>
      <c r="V2" s="120" t="s">
        <v>140</v>
      </c>
      <c r="W2" s="121"/>
      <c r="X2" s="121"/>
      <c r="Y2" s="122"/>
      <c r="Z2" s="114" t="s">
        <v>138</v>
      </c>
      <c r="AA2" s="115"/>
      <c r="AB2" s="115"/>
      <c r="AC2" s="116"/>
      <c r="AD2" s="99" t="s">
        <v>167</v>
      </c>
      <c r="AE2" s="100"/>
      <c r="AF2" s="100"/>
      <c r="AG2" s="101"/>
    </row>
    <row r="3" spans="2:33" x14ac:dyDescent="0.25">
      <c r="B3" s="25">
        <v>46201</v>
      </c>
      <c r="C3" s="26" t="s">
        <v>63</v>
      </c>
      <c r="D3" s="27"/>
      <c r="E3" s="28" t="s">
        <v>1</v>
      </c>
      <c r="F3" s="29"/>
      <c r="G3" s="27"/>
      <c r="H3" s="28" t="s">
        <v>1</v>
      </c>
      <c r="I3" s="29"/>
      <c r="J3" s="27"/>
      <c r="K3" s="28" t="s">
        <v>1</v>
      </c>
      <c r="L3" s="29"/>
      <c r="M3" s="11" t="str">
        <f>IF(ISBLANK($I3)=TRUE,"",IF(SIGN(J3-L3)=SIGN($G3-$I3),1,0)+IF(J3=$G3,IF(L3=$I3,2,0),0))</f>
        <v/>
      </c>
      <c r="N3" s="27"/>
      <c r="O3" s="28" t="s">
        <v>1</v>
      </c>
      <c r="P3" s="29"/>
      <c r="Q3" s="11" t="str">
        <f>IF(ISBLANK($I3)=TRUE,"",IF(SIGN(N3-P3)=SIGN($G3-$I3),1,0)+IF(N3=$G3,IF(P3=$I3,2,0),0))</f>
        <v/>
      </c>
      <c r="R3" s="27"/>
      <c r="S3" s="28" t="s">
        <v>1</v>
      </c>
      <c r="T3" s="29"/>
      <c r="U3" s="11" t="str">
        <f>IF(ISBLANK($I3)=TRUE,"",IF(SIGN(R3-T3)=SIGN($G3-$I3),1,0)+IF(R3=$G3,IF(T3=$I3,2,0),0))</f>
        <v/>
      </c>
      <c r="V3" s="27"/>
      <c r="W3" s="28" t="s">
        <v>1</v>
      </c>
      <c r="X3" s="29"/>
      <c r="Y3" s="11" t="str">
        <f>IF(ISBLANK($I3)=TRUE,"",IF(SIGN(V3-X3)=SIGN($G3-$I3),1,0)+IF(V3=$G3,IF(X3=$I3,2,0),0))</f>
        <v/>
      </c>
      <c r="Z3" s="27"/>
      <c r="AA3" s="28" t="s">
        <v>1</v>
      </c>
      <c r="AB3" s="29"/>
      <c r="AC3" s="11" t="str">
        <f>IF(ISBLANK($I3)=TRUE,"",IF(SIGN(Z3-AB3)=SIGN($G3-$I3),1,0)+IF(Z3=$G3,IF(AB3=$I3,2,0),0))</f>
        <v/>
      </c>
      <c r="AD3" s="27"/>
      <c r="AE3" s="28" t="s">
        <v>1</v>
      </c>
      <c r="AF3" s="29"/>
      <c r="AG3" s="11" t="str">
        <f>IF(ISBLANK($I3)=TRUE,"",IF(SIGN(AD3-AF3)=SIGN($G3-$I3),1,0)+IF(AD3=$G3,IF(AF3=$I3,2,0),0))</f>
        <v/>
      </c>
    </row>
    <row r="4" spans="2:33" x14ac:dyDescent="0.25">
      <c r="B4" s="12">
        <v>46202</v>
      </c>
      <c r="C4" s="30">
        <v>0.79166666666666663</v>
      </c>
      <c r="D4" s="3"/>
      <c r="E4" s="1" t="s">
        <v>1</v>
      </c>
      <c r="F4" s="5"/>
      <c r="G4" s="3"/>
      <c r="H4" s="1" t="s">
        <v>1</v>
      </c>
      <c r="I4" s="5"/>
      <c r="J4" s="3"/>
      <c r="K4" s="1" t="s">
        <v>1</v>
      </c>
      <c r="L4" s="5"/>
      <c r="M4" s="9" t="str">
        <f t="shared" ref="M4:M12" si="0">IF(ISBLANK($G4)=TRUE,"",IF(SIGN(J4-L4)=SIGN($G4-$I4),1,0)+IF(J4=$G4,IF(L4=$I4,2,0),0))</f>
        <v/>
      </c>
      <c r="N4" s="3"/>
      <c r="O4" s="1" t="s">
        <v>1</v>
      </c>
      <c r="P4" s="5"/>
      <c r="Q4" s="9" t="str">
        <f t="shared" ref="Q4:Q12" si="1">IF(ISBLANK($G4)=TRUE,"",IF(SIGN(N4-P4)=SIGN($G4-$I4),1,0)+IF(N4=$G4,IF(P4=$I4,2,0),0))</f>
        <v/>
      </c>
      <c r="R4" s="3"/>
      <c r="S4" s="1" t="s">
        <v>1</v>
      </c>
      <c r="T4" s="5"/>
      <c r="U4" s="9" t="str">
        <f t="shared" ref="U4:U12" si="2">IF(ISBLANK($G4)=TRUE,"",IF(SIGN(R4-T4)=SIGN($G4-$I4),1,0)+IF(R4=$G4,IF(T4=$I4,2,0),0))</f>
        <v/>
      </c>
      <c r="V4" s="3"/>
      <c r="W4" s="1" t="s">
        <v>1</v>
      </c>
      <c r="X4" s="5"/>
      <c r="Y4" s="9" t="str">
        <f t="shared" ref="Y4:Y12" si="3">IF(ISBLANK($G4)=TRUE,"",IF(SIGN(V4-X4)=SIGN($G4-$I4),1,0)+IF(V4=$G4,IF(X4=$I4,2,0),0))</f>
        <v/>
      </c>
      <c r="Z4" s="3"/>
      <c r="AA4" s="1" t="s">
        <v>1</v>
      </c>
      <c r="AB4" s="5"/>
      <c r="AC4" s="9" t="str">
        <f t="shared" ref="AC4:AC12" si="4">IF(ISBLANK($G4)=TRUE,"",IF(SIGN(Z4-AB4)=SIGN($G4-$I4),1,0)+IF(Z4=$G4,IF(AB4=$I4,2,0),0))</f>
        <v/>
      </c>
      <c r="AD4" s="3"/>
      <c r="AE4" s="1" t="s">
        <v>1</v>
      </c>
      <c r="AF4" s="5"/>
      <c r="AG4" s="9" t="str">
        <f t="shared" ref="AG4:AG12" si="5">IF(ISBLANK($G4)=TRUE,"",IF(SIGN(AD4-AF4)=SIGN($G4-$I4),1,0)+IF(AD4=$G4,IF(AF4=$I4,2,0),0))</f>
        <v/>
      </c>
    </row>
    <row r="5" spans="2:33" x14ac:dyDescent="0.25">
      <c r="B5" s="12">
        <v>46202</v>
      </c>
      <c r="C5" s="30">
        <v>0.9375</v>
      </c>
      <c r="D5" s="3"/>
      <c r="E5" s="1" t="s">
        <v>1</v>
      </c>
      <c r="F5" s="5"/>
      <c r="G5" s="3"/>
      <c r="H5" s="1" t="s">
        <v>1</v>
      </c>
      <c r="I5" s="5"/>
      <c r="J5" s="3"/>
      <c r="K5" s="1" t="s">
        <v>1</v>
      </c>
      <c r="L5" s="5"/>
      <c r="M5" s="9" t="str">
        <f t="shared" si="0"/>
        <v/>
      </c>
      <c r="N5" s="3"/>
      <c r="O5" s="1" t="s">
        <v>1</v>
      </c>
      <c r="P5" s="5"/>
      <c r="Q5" s="9" t="str">
        <f t="shared" si="1"/>
        <v/>
      </c>
      <c r="R5" s="3"/>
      <c r="S5" s="1" t="s">
        <v>1</v>
      </c>
      <c r="T5" s="5"/>
      <c r="U5" s="9" t="str">
        <f t="shared" si="2"/>
        <v/>
      </c>
      <c r="V5" s="3"/>
      <c r="W5" s="1" t="s">
        <v>1</v>
      </c>
      <c r="X5" s="5"/>
      <c r="Y5" s="9" t="str">
        <f t="shared" si="3"/>
        <v/>
      </c>
      <c r="Z5" s="3"/>
      <c r="AA5" s="1" t="s">
        <v>1</v>
      </c>
      <c r="AB5" s="5"/>
      <c r="AC5" s="9" t="str">
        <f t="shared" si="4"/>
        <v/>
      </c>
      <c r="AD5" s="3"/>
      <c r="AE5" s="1" t="s">
        <v>1</v>
      </c>
      <c r="AF5" s="5"/>
      <c r="AG5" s="9" t="str">
        <f t="shared" si="5"/>
        <v/>
      </c>
    </row>
    <row r="6" spans="2:33" x14ac:dyDescent="0.25">
      <c r="B6" s="12">
        <v>46203</v>
      </c>
      <c r="C6" s="24" t="s">
        <v>66</v>
      </c>
      <c r="D6" s="3"/>
      <c r="E6" s="1" t="s">
        <v>1</v>
      </c>
      <c r="F6" s="5"/>
      <c r="G6" s="3"/>
      <c r="H6" s="1" t="s">
        <v>1</v>
      </c>
      <c r="I6" s="5"/>
      <c r="J6" s="3"/>
      <c r="K6" s="1" t="s">
        <v>1</v>
      </c>
      <c r="L6" s="5"/>
      <c r="M6" s="9" t="str">
        <f t="shared" si="0"/>
        <v/>
      </c>
      <c r="N6" s="3"/>
      <c r="O6" s="1" t="s">
        <v>1</v>
      </c>
      <c r="P6" s="5"/>
      <c r="Q6" s="9" t="str">
        <f t="shared" si="1"/>
        <v/>
      </c>
      <c r="R6" s="3"/>
      <c r="S6" s="1" t="s">
        <v>1</v>
      </c>
      <c r="T6" s="5"/>
      <c r="U6" s="9" t="str">
        <f t="shared" si="2"/>
        <v/>
      </c>
      <c r="V6" s="3"/>
      <c r="W6" s="1" t="s">
        <v>1</v>
      </c>
      <c r="X6" s="5"/>
      <c r="Y6" s="9" t="str">
        <f t="shared" si="3"/>
        <v/>
      </c>
      <c r="Z6" s="3"/>
      <c r="AA6" s="1" t="s">
        <v>1</v>
      </c>
      <c r="AB6" s="5"/>
      <c r="AC6" s="9" t="str">
        <f t="shared" si="4"/>
        <v/>
      </c>
      <c r="AD6" s="3"/>
      <c r="AE6" s="1" t="s">
        <v>1</v>
      </c>
      <c r="AF6" s="5"/>
      <c r="AG6" s="9" t="str">
        <f t="shared" si="5"/>
        <v/>
      </c>
    </row>
    <row r="7" spans="2:33" x14ac:dyDescent="0.25">
      <c r="B7" s="12">
        <v>46203</v>
      </c>
      <c r="C7" s="30">
        <v>0.79166666666666663</v>
      </c>
      <c r="D7" s="3"/>
      <c r="E7" s="1" t="s">
        <v>1</v>
      </c>
      <c r="F7" s="5"/>
      <c r="G7" s="3"/>
      <c r="H7" s="1" t="s">
        <v>1</v>
      </c>
      <c r="I7" s="5"/>
      <c r="J7" s="3"/>
      <c r="K7" s="1" t="s">
        <v>1</v>
      </c>
      <c r="L7" s="5"/>
      <c r="M7" s="9" t="str">
        <f t="shared" si="0"/>
        <v/>
      </c>
      <c r="N7" s="3"/>
      <c r="O7" s="1" t="s">
        <v>1</v>
      </c>
      <c r="P7" s="5"/>
      <c r="Q7" s="9" t="str">
        <f t="shared" si="1"/>
        <v/>
      </c>
      <c r="R7" s="3"/>
      <c r="S7" s="1" t="s">
        <v>1</v>
      </c>
      <c r="T7" s="5"/>
      <c r="U7" s="9" t="str">
        <f t="shared" si="2"/>
        <v/>
      </c>
      <c r="V7" s="3"/>
      <c r="W7" s="1" t="s">
        <v>1</v>
      </c>
      <c r="X7" s="5"/>
      <c r="Y7" s="9" t="str">
        <f t="shared" si="3"/>
        <v/>
      </c>
      <c r="Z7" s="3"/>
      <c r="AA7" s="1" t="s">
        <v>1</v>
      </c>
      <c r="AB7" s="5"/>
      <c r="AC7" s="9" t="str">
        <f t="shared" si="4"/>
        <v/>
      </c>
      <c r="AD7" s="3"/>
      <c r="AE7" s="1" t="s">
        <v>1</v>
      </c>
      <c r="AF7" s="5"/>
      <c r="AG7" s="9" t="str">
        <f t="shared" si="5"/>
        <v/>
      </c>
    </row>
    <row r="8" spans="2:33" x14ac:dyDescent="0.25">
      <c r="B8" s="12">
        <v>46203</v>
      </c>
      <c r="C8" s="30">
        <v>0.95833333333333337</v>
      </c>
      <c r="D8" s="3"/>
      <c r="E8" s="1" t="s">
        <v>1</v>
      </c>
      <c r="F8" s="5"/>
      <c r="G8" s="3"/>
      <c r="H8" s="1" t="s">
        <v>1</v>
      </c>
      <c r="I8" s="5"/>
      <c r="J8" s="3"/>
      <c r="K8" s="1" t="s">
        <v>1</v>
      </c>
      <c r="L8" s="5"/>
      <c r="M8" s="9" t="str">
        <f t="shared" ref="M8:M11" si="6">IF(ISBLANK($G8)=TRUE,"",IF(SIGN(J8-L8)=SIGN($G8-$I8),1,0)+IF(J8=$G8,IF(L8=$I8,2,0),0))</f>
        <v/>
      </c>
      <c r="N8" s="3"/>
      <c r="O8" s="1" t="s">
        <v>1</v>
      </c>
      <c r="P8" s="5"/>
      <c r="Q8" s="9" t="str">
        <f t="shared" si="1"/>
        <v/>
      </c>
      <c r="R8" s="3"/>
      <c r="S8" s="1" t="s">
        <v>1</v>
      </c>
      <c r="T8" s="5"/>
      <c r="U8" s="9" t="str">
        <f t="shared" si="2"/>
        <v/>
      </c>
      <c r="V8" s="3"/>
      <c r="W8" s="1" t="s">
        <v>1</v>
      </c>
      <c r="X8" s="5"/>
      <c r="Y8" s="9" t="str">
        <f t="shared" si="3"/>
        <v/>
      </c>
      <c r="Z8" s="3"/>
      <c r="AA8" s="1" t="s">
        <v>1</v>
      </c>
      <c r="AB8" s="5"/>
      <c r="AC8" s="9" t="str">
        <f t="shared" si="4"/>
        <v/>
      </c>
      <c r="AD8" s="3"/>
      <c r="AE8" s="1" t="s">
        <v>1</v>
      </c>
      <c r="AF8" s="5"/>
      <c r="AG8" s="9" t="str">
        <f t="shared" si="5"/>
        <v/>
      </c>
    </row>
    <row r="9" spans="2:33" x14ac:dyDescent="0.25">
      <c r="B9" s="12">
        <v>46204</v>
      </c>
      <c r="C9" s="30">
        <v>0.125</v>
      </c>
      <c r="D9" s="3"/>
      <c r="E9" s="1" t="s">
        <v>1</v>
      </c>
      <c r="F9" s="5"/>
      <c r="G9" s="3"/>
      <c r="H9" s="1" t="s">
        <v>1</v>
      </c>
      <c r="I9" s="5"/>
      <c r="J9" s="3"/>
      <c r="K9" s="1" t="s">
        <v>1</v>
      </c>
      <c r="L9" s="5"/>
      <c r="M9" s="9" t="str">
        <f t="shared" si="6"/>
        <v/>
      </c>
      <c r="N9" s="3"/>
      <c r="O9" s="1" t="s">
        <v>1</v>
      </c>
      <c r="P9" s="5"/>
      <c r="Q9" s="9" t="str">
        <f t="shared" si="1"/>
        <v/>
      </c>
      <c r="R9" s="3"/>
      <c r="S9" s="1" t="s">
        <v>1</v>
      </c>
      <c r="T9" s="5"/>
      <c r="U9" s="9" t="str">
        <f t="shared" si="2"/>
        <v/>
      </c>
      <c r="V9" s="3"/>
      <c r="W9" s="1" t="s">
        <v>1</v>
      </c>
      <c r="X9" s="5"/>
      <c r="Y9" s="9" t="str">
        <f t="shared" si="3"/>
        <v/>
      </c>
      <c r="Z9" s="3"/>
      <c r="AA9" s="1" t="s">
        <v>1</v>
      </c>
      <c r="AB9" s="5"/>
      <c r="AC9" s="9" t="str">
        <f t="shared" si="4"/>
        <v/>
      </c>
      <c r="AD9" s="3"/>
      <c r="AE9" s="1" t="s">
        <v>1</v>
      </c>
      <c r="AF9" s="5"/>
      <c r="AG9" s="9" t="str">
        <f t="shared" si="5"/>
        <v/>
      </c>
    </row>
    <row r="10" spans="2:33" x14ac:dyDescent="0.25">
      <c r="B10" s="12">
        <v>46204</v>
      </c>
      <c r="C10" s="30">
        <v>0.75</v>
      </c>
      <c r="D10" s="3"/>
      <c r="E10" s="1" t="s">
        <v>1</v>
      </c>
      <c r="F10" s="5"/>
      <c r="G10" s="3"/>
      <c r="H10" s="1" t="s">
        <v>1</v>
      </c>
      <c r="I10" s="5"/>
      <c r="J10" s="3"/>
      <c r="K10" s="1" t="s">
        <v>1</v>
      </c>
      <c r="L10" s="5"/>
      <c r="M10" s="9" t="str">
        <f t="shared" si="6"/>
        <v/>
      </c>
      <c r="N10" s="3"/>
      <c r="O10" s="1" t="s">
        <v>1</v>
      </c>
      <c r="P10" s="5"/>
      <c r="Q10" s="9" t="str">
        <f t="shared" si="1"/>
        <v/>
      </c>
      <c r="R10" s="3"/>
      <c r="S10" s="1" t="s">
        <v>1</v>
      </c>
      <c r="T10" s="5"/>
      <c r="U10" s="9" t="str">
        <f t="shared" si="2"/>
        <v/>
      </c>
      <c r="V10" s="3"/>
      <c r="W10" s="1" t="s">
        <v>1</v>
      </c>
      <c r="X10" s="5"/>
      <c r="Y10" s="9" t="str">
        <f t="shared" si="3"/>
        <v/>
      </c>
      <c r="Z10" s="3"/>
      <c r="AA10" s="1" t="s">
        <v>1</v>
      </c>
      <c r="AB10" s="5"/>
      <c r="AC10" s="9" t="str">
        <f t="shared" si="4"/>
        <v/>
      </c>
      <c r="AD10" s="3"/>
      <c r="AE10" s="1" t="s">
        <v>1</v>
      </c>
      <c r="AF10" s="5"/>
      <c r="AG10" s="9" t="str">
        <f t="shared" si="5"/>
        <v/>
      </c>
    </row>
    <row r="11" spans="2:33" x14ac:dyDescent="0.25">
      <c r="B11" s="12">
        <v>46204</v>
      </c>
      <c r="C11" s="30">
        <v>0.91666666666666663</v>
      </c>
      <c r="D11" s="3"/>
      <c r="E11" s="1" t="s">
        <v>1</v>
      </c>
      <c r="F11" s="5"/>
      <c r="G11" s="3"/>
      <c r="H11" s="1" t="s">
        <v>1</v>
      </c>
      <c r="I11" s="5"/>
      <c r="J11" s="3"/>
      <c r="K11" s="1" t="s">
        <v>1</v>
      </c>
      <c r="L11" s="5"/>
      <c r="M11" s="9" t="str">
        <f t="shared" si="6"/>
        <v/>
      </c>
      <c r="N11" s="3"/>
      <c r="O11" s="1" t="s">
        <v>1</v>
      </c>
      <c r="P11" s="5"/>
      <c r="Q11" s="9" t="str">
        <f t="shared" si="1"/>
        <v/>
      </c>
      <c r="R11" s="3"/>
      <c r="S11" s="1" t="s">
        <v>1</v>
      </c>
      <c r="T11" s="5"/>
      <c r="U11" s="9" t="str">
        <f t="shared" si="2"/>
        <v/>
      </c>
      <c r="V11" s="3"/>
      <c r="W11" s="1" t="s">
        <v>1</v>
      </c>
      <c r="X11" s="5"/>
      <c r="Y11" s="9" t="str">
        <f t="shared" si="3"/>
        <v/>
      </c>
      <c r="Z11" s="3"/>
      <c r="AA11" s="1" t="s">
        <v>1</v>
      </c>
      <c r="AB11" s="5"/>
      <c r="AC11" s="9" t="str">
        <f t="shared" si="4"/>
        <v/>
      </c>
      <c r="AD11" s="3"/>
      <c r="AE11" s="1" t="s">
        <v>1</v>
      </c>
      <c r="AF11" s="5"/>
      <c r="AG11" s="9" t="str">
        <f t="shared" si="5"/>
        <v/>
      </c>
    </row>
    <row r="12" spans="2:33" x14ac:dyDescent="0.25">
      <c r="B12" s="12">
        <v>46205</v>
      </c>
      <c r="C12" s="30">
        <v>8.3333333333333329E-2</v>
      </c>
      <c r="D12" s="3"/>
      <c r="E12" s="1" t="s">
        <v>1</v>
      </c>
      <c r="F12" s="5"/>
      <c r="G12" s="3"/>
      <c r="H12" s="1" t="s">
        <v>1</v>
      </c>
      <c r="I12" s="5"/>
      <c r="J12" s="3"/>
      <c r="K12" s="1" t="s">
        <v>1</v>
      </c>
      <c r="L12" s="5"/>
      <c r="M12" s="9" t="str">
        <f t="shared" si="0"/>
        <v/>
      </c>
      <c r="N12" s="3"/>
      <c r="O12" s="1" t="s">
        <v>1</v>
      </c>
      <c r="P12" s="5"/>
      <c r="Q12" s="9" t="str">
        <f t="shared" si="1"/>
        <v/>
      </c>
      <c r="R12" s="3"/>
      <c r="S12" s="1" t="s">
        <v>1</v>
      </c>
      <c r="T12" s="5"/>
      <c r="U12" s="9" t="str">
        <f t="shared" si="2"/>
        <v/>
      </c>
      <c r="V12" s="3"/>
      <c r="W12" s="1" t="s">
        <v>1</v>
      </c>
      <c r="X12" s="5"/>
      <c r="Y12" s="9" t="str">
        <f t="shared" si="3"/>
        <v/>
      </c>
      <c r="Z12" s="3"/>
      <c r="AA12" s="1" t="s">
        <v>1</v>
      </c>
      <c r="AB12" s="5"/>
      <c r="AC12" s="9" t="str">
        <f t="shared" si="4"/>
        <v/>
      </c>
      <c r="AD12" s="3"/>
      <c r="AE12" s="1" t="s">
        <v>1</v>
      </c>
      <c r="AF12" s="5"/>
      <c r="AG12" s="9" t="str">
        <f t="shared" si="5"/>
        <v/>
      </c>
    </row>
    <row r="13" spans="2:33" x14ac:dyDescent="0.25">
      <c r="B13" s="12">
        <v>46205</v>
      </c>
      <c r="C13" s="30">
        <v>0.875</v>
      </c>
      <c r="D13" s="3"/>
      <c r="E13" s="1" t="s">
        <v>1</v>
      </c>
      <c r="F13" s="5"/>
      <c r="G13" s="3"/>
      <c r="H13" s="1" t="s">
        <v>1</v>
      </c>
      <c r="I13" s="5"/>
      <c r="J13" s="3"/>
      <c r="K13" s="1" t="s">
        <v>1</v>
      </c>
      <c r="L13" s="5"/>
      <c r="M13" s="9" t="str">
        <f>IF(ISBLANK($I13)=TRUE,"",IF(SIGN(J13-L13)=SIGN($G13-$I13),1,0)+IF(J13=$G13,IF(L13=$I13,2,0),0))</f>
        <v/>
      </c>
      <c r="N13" s="3"/>
      <c r="O13" s="1" t="s">
        <v>1</v>
      </c>
      <c r="P13" s="5"/>
      <c r="Q13" s="9" t="str">
        <f>IF(ISBLANK($I13)=TRUE,"",IF(SIGN(N13-P13)=SIGN($G13-$I13),1,0)+IF(N13=$G13,IF(P13=$I13,2,0),0))</f>
        <v/>
      </c>
      <c r="R13" s="3"/>
      <c r="S13" s="1" t="s">
        <v>1</v>
      </c>
      <c r="T13" s="5"/>
      <c r="U13" s="9" t="str">
        <f>IF(ISBLANK($I13)=TRUE,"",IF(SIGN(R13-T13)=SIGN($G13-$I13),1,0)+IF(R13=$G13,IF(T13=$I13,2,0),0))</f>
        <v/>
      </c>
      <c r="V13" s="3"/>
      <c r="W13" s="1" t="s">
        <v>1</v>
      </c>
      <c r="X13" s="5"/>
      <c r="Y13" s="9" t="str">
        <f>IF(ISBLANK($I13)=TRUE,"",IF(SIGN(V13-X13)=SIGN($G13-$I13),1,0)+IF(V13=$G13,IF(X13=$I13,2,0),0))</f>
        <v/>
      </c>
      <c r="Z13" s="3"/>
      <c r="AA13" s="1" t="s">
        <v>1</v>
      </c>
      <c r="AB13" s="5"/>
      <c r="AC13" s="9" t="str">
        <f>IF(ISBLANK($I13)=TRUE,"",IF(SIGN(Z13-AB13)=SIGN($G13-$I13),1,0)+IF(Z13=$G13,IF(AB13=$I13,2,0),0))</f>
        <v/>
      </c>
      <c r="AD13" s="3"/>
      <c r="AE13" s="1" t="s">
        <v>1</v>
      </c>
      <c r="AF13" s="5"/>
      <c r="AG13" s="9" t="str">
        <f>IF(ISBLANK($I13)=TRUE,"",IF(SIGN(AD13-AF13)=SIGN($G13-$I13),1,0)+IF(AD13=$G13,IF(AF13=$I13,2,0),0))</f>
        <v/>
      </c>
    </row>
    <row r="14" spans="2:33" x14ac:dyDescent="0.25">
      <c r="B14" s="12">
        <v>46206</v>
      </c>
      <c r="C14" s="30">
        <v>4.1666666666666664E-2</v>
      </c>
      <c r="D14" s="3"/>
      <c r="E14" s="1" t="s">
        <v>1</v>
      </c>
      <c r="F14" s="5"/>
      <c r="G14" s="3"/>
      <c r="H14" s="1" t="s">
        <v>1</v>
      </c>
      <c r="I14" s="5"/>
      <c r="J14" s="3"/>
      <c r="K14" s="1" t="s">
        <v>1</v>
      </c>
      <c r="L14" s="5"/>
      <c r="M14" s="9" t="str">
        <f t="shared" ref="M14:M18" si="7">IF(ISBLANK($G14)=TRUE,"",IF(SIGN(J14-L14)=SIGN($G14-$I14),1,0)+IF(J14=$G14,IF(L14=$I14,2,0),0))</f>
        <v/>
      </c>
      <c r="N14" s="3"/>
      <c r="O14" s="1" t="s">
        <v>1</v>
      </c>
      <c r="P14" s="5"/>
      <c r="Q14" s="9" t="str">
        <f t="shared" ref="Q14:Q18" si="8">IF(ISBLANK($G14)=TRUE,"",IF(SIGN(N14-P14)=SIGN($G14-$I14),1,0)+IF(N14=$G14,IF(P14=$I14,2,0),0))</f>
        <v/>
      </c>
      <c r="R14" s="3"/>
      <c r="S14" s="1" t="s">
        <v>1</v>
      </c>
      <c r="T14" s="5"/>
      <c r="U14" s="9" t="str">
        <f t="shared" ref="U14:U18" si="9">IF(ISBLANK($G14)=TRUE,"",IF(SIGN(R14-T14)=SIGN($G14-$I14),1,0)+IF(R14=$G14,IF(T14=$I14,2,0),0))</f>
        <v/>
      </c>
      <c r="V14" s="3"/>
      <c r="W14" s="1" t="s">
        <v>1</v>
      </c>
      <c r="X14" s="5"/>
      <c r="Y14" s="9" t="str">
        <f t="shared" ref="Y14:Y18" si="10">IF(ISBLANK($G14)=TRUE,"",IF(SIGN(V14-X14)=SIGN($G14-$I14),1,0)+IF(V14=$G14,IF(X14=$I14,2,0),0))</f>
        <v/>
      </c>
      <c r="Z14" s="3"/>
      <c r="AA14" s="1" t="s">
        <v>1</v>
      </c>
      <c r="AB14" s="5"/>
      <c r="AC14" s="9" t="str">
        <f t="shared" ref="AC14:AC18" si="11">IF(ISBLANK($G14)=TRUE,"",IF(SIGN(Z14-AB14)=SIGN($G14-$I14),1,0)+IF(Z14=$G14,IF(AB14=$I14,2,0),0))</f>
        <v/>
      </c>
      <c r="AD14" s="3"/>
      <c r="AE14" s="1" t="s">
        <v>1</v>
      </c>
      <c r="AF14" s="5"/>
      <c r="AG14" s="9" t="str">
        <f t="shared" ref="AG14:AG18" si="12">IF(ISBLANK($G14)=TRUE,"",IF(SIGN(AD14-AF14)=SIGN($G14-$I14),1,0)+IF(AD14=$G14,IF(AF14=$I14,2,0),0))</f>
        <v/>
      </c>
    </row>
    <row r="15" spans="2:33" x14ac:dyDescent="0.25">
      <c r="B15" s="12">
        <v>46206</v>
      </c>
      <c r="C15" s="30">
        <v>0.20833333333333334</v>
      </c>
      <c r="D15" s="3"/>
      <c r="E15" s="1" t="s">
        <v>1</v>
      </c>
      <c r="F15" s="5"/>
      <c r="G15" s="3"/>
      <c r="H15" s="1" t="s">
        <v>1</v>
      </c>
      <c r="I15" s="5"/>
      <c r="J15" s="3"/>
      <c r="K15" s="1" t="s">
        <v>1</v>
      </c>
      <c r="L15" s="5"/>
      <c r="M15" s="9" t="str">
        <f t="shared" si="7"/>
        <v/>
      </c>
      <c r="N15" s="3"/>
      <c r="O15" s="1" t="s">
        <v>1</v>
      </c>
      <c r="P15" s="5"/>
      <c r="Q15" s="9" t="str">
        <f t="shared" si="8"/>
        <v/>
      </c>
      <c r="R15" s="3"/>
      <c r="S15" s="1" t="s">
        <v>1</v>
      </c>
      <c r="T15" s="5"/>
      <c r="U15" s="9" t="str">
        <f t="shared" si="9"/>
        <v/>
      </c>
      <c r="V15" s="3"/>
      <c r="W15" s="1" t="s">
        <v>1</v>
      </c>
      <c r="X15" s="5"/>
      <c r="Y15" s="9" t="str">
        <f t="shared" si="10"/>
        <v/>
      </c>
      <c r="Z15" s="3"/>
      <c r="AA15" s="1" t="s">
        <v>1</v>
      </c>
      <c r="AB15" s="5"/>
      <c r="AC15" s="9" t="str">
        <f t="shared" si="11"/>
        <v/>
      </c>
      <c r="AD15" s="3"/>
      <c r="AE15" s="1" t="s">
        <v>1</v>
      </c>
      <c r="AF15" s="5"/>
      <c r="AG15" s="9" t="str">
        <f t="shared" si="12"/>
        <v/>
      </c>
    </row>
    <row r="16" spans="2:33" x14ac:dyDescent="0.25">
      <c r="B16" s="12">
        <v>46206</v>
      </c>
      <c r="C16" s="30">
        <v>0.83333333333333337</v>
      </c>
      <c r="D16" s="3"/>
      <c r="E16" s="1" t="s">
        <v>1</v>
      </c>
      <c r="F16" s="5"/>
      <c r="G16" s="3"/>
      <c r="H16" s="1" t="s">
        <v>1</v>
      </c>
      <c r="I16" s="5"/>
      <c r="J16" s="3"/>
      <c r="K16" s="1" t="s">
        <v>1</v>
      </c>
      <c r="L16" s="5"/>
      <c r="M16" s="9" t="str">
        <f t="shared" si="7"/>
        <v/>
      </c>
      <c r="N16" s="3"/>
      <c r="O16" s="1" t="s">
        <v>1</v>
      </c>
      <c r="P16" s="5"/>
      <c r="Q16" s="9" t="str">
        <f t="shared" si="8"/>
        <v/>
      </c>
      <c r="R16" s="3"/>
      <c r="S16" s="1" t="s">
        <v>1</v>
      </c>
      <c r="T16" s="5"/>
      <c r="U16" s="9" t="str">
        <f t="shared" si="9"/>
        <v/>
      </c>
      <c r="V16" s="3"/>
      <c r="W16" s="1" t="s">
        <v>1</v>
      </c>
      <c r="X16" s="5"/>
      <c r="Y16" s="9" t="str">
        <f t="shared" si="10"/>
        <v/>
      </c>
      <c r="Z16" s="3"/>
      <c r="AA16" s="1" t="s">
        <v>1</v>
      </c>
      <c r="AB16" s="5"/>
      <c r="AC16" s="9" t="str">
        <f t="shared" si="11"/>
        <v/>
      </c>
      <c r="AD16" s="3"/>
      <c r="AE16" s="1" t="s">
        <v>1</v>
      </c>
      <c r="AF16" s="5"/>
      <c r="AG16" s="9" t="str">
        <f t="shared" si="12"/>
        <v/>
      </c>
    </row>
    <row r="17" spans="2:33" x14ac:dyDescent="0.25">
      <c r="B17" s="12">
        <v>46207</v>
      </c>
      <c r="C17" s="30">
        <v>0</v>
      </c>
      <c r="D17" s="3"/>
      <c r="E17" s="1" t="s">
        <v>1</v>
      </c>
      <c r="F17" s="5"/>
      <c r="G17" s="3"/>
      <c r="H17" s="1" t="s">
        <v>1</v>
      </c>
      <c r="I17" s="5"/>
      <c r="J17" s="3"/>
      <c r="K17" s="1" t="s">
        <v>1</v>
      </c>
      <c r="L17" s="5"/>
      <c r="M17" s="9" t="str">
        <f t="shared" si="7"/>
        <v/>
      </c>
      <c r="N17" s="3"/>
      <c r="O17" s="1" t="s">
        <v>1</v>
      </c>
      <c r="P17" s="5"/>
      <c r="Q17" s="9" t="str">
        <f t="shared" si="8"/>
        <v/>
      </c>
      <c r="R17" s="3"/>
      <c r="S17" s="1" t="s">
        <v>1</v>
      </c>
      <c r="T17" s="5"/>
      <c r="U17" s="9" t="str">
        <f t="shared" si="9"/>
        <v/>
      </c>
      <c r="V17" s="3"/>
      <c r="W17" s="1" t="s">
        <v>1</v>
      </c>
      <c r="X17" s="5"/>
      <c r="Y17" s="9" t="str">
        <f t="shared" si="10"/>
        <v/>
      </c>
      <c r="Z17" s="3"/>
      <c r="AA17" s="1" t="s">
        <v>1</v>
      </c>
      <c r="AB17" s="5"/>
      <c r="AC17" s="9" t="str">
        <f t="shared" si="11"/>
        <v/>
      </c>
      <c r="AD17" s="3"/>
      <c r="AE17" s="1" t="s">
        <v>1</v>
      </c>
      <c r="AF17" s="5"/>
      <c r="AG17" s="9" t="str">
        <f t="shared" si="12"/>
        <v/>
      </c>
    </row>
    <row r="18" spans="2:33" ht="15.75" thickBot="1" x14ac:dyDescent="0.3">
      <c r="B18" s="13">
        <v>46207</v>
      </c>
      <c r="C18" s="31">
        <v>0.14583333333333334</v>
      </c>
      <c r="D18" s="4"/>
      <c r="E18" s="2" t="s">
        <v>1</v>
      </c>
      <c r="F18" s="6"/>
      <c r="G18" s="4"/>
      <c r="H18" s="2" t="s">
        <v>1</v>
      </c>
      <c r="I18" s="6"/>
      <c r="J18" s="4"/>
      <c r="K18" s="2" t="s">
        <v>1</v>
      </c>
      <c r="L18" s="6"/>
      <c r="M18" s="10" t="str">
        <f t="shared" si="7"/>
        <v/>
      </c>
      <c r="N18" s="4"/>
      <c r="O18" s="2" t="s">
        <v>1</v>
      </c>
      <c r="P18" s="6"/>
      <c r="Q18" s="10" t="str">
        <f t="shared" si="8"/>
        <v/>
      </c>
      <c r="R18" s="4"/>
      <c r="S18" s="2" t="s">
        <v>1</v>
      </c>
      <c r="T18" s="6"/>
      <c r="U18" s="10" t="str">
        <f t="shared" si="9"/>
        <v/>
      </c>
      <c r="V18" s="4"/>
      <c r="W18" s="2" t="s">
        <v>1</v>
      </c>
      <c r="X18" s="6"/>
      <c r="Y18" s="10" t="str">
        <f t="shared" si="10"/>
        <v/>
      </c>
      <c r="Z18" s="4"/>
      <c r="AA18" s="2" t="s">
        <v>1</v>
      </c>
      <c r="AB18" s="6"/>
      <c r="AC18" s="10" t="str">
        <f t="shared" si="11"/>
        <v/>
      </c>
      <c r="AD18" s="4"/>
      <c r="AE18" s="2" t="s">
        <v>1</v>
      </c>
      <c r="AF18" s="6"/>
      <c r="AG18" s="10" t="str">
        <f t="shared" si="12"/>
        <v/>
      </c>
    </row>
    <row r="19" spans="2:33" ht="15.75" thickBot="1" x14ac:dyDescent="0.3">
      <c r="B19" s="75" t="s">
        <v>77</v>
      </c>
      <c r="C19" s="76" t="s">
        <v>78</v>
      </c>
      <c r="D19" s="123" t="s">
        <v>119</v>
      </c>
      <c r="E19" s="124"/>
      <c r="F19" s="125"/>
      <c r="G19" s="72" t="s">
        <v>7</v>
      </c>
      <c r="H19" s="73"/>
      <c r="I19" s="74"/>
      <c r="J19" s="34"/>
      <c r="K19" s="36"/>
      <c r="L19" s="36"/>
      <c r="M19" s="35"/>
      <c r="N19" s="44"/>
      <c r="O19" s="45"/>
      <c r="P19" s="45"/>
      <c r="Q19" s="46"/>
      <c r="R19" s="41"/>
      <c r="S19" s="42"/>
      <c r="T19" s="42"/>
      <c r="U19" s="43"/>
      <c r="V19" s="53"/>
      <c r="W19" s="54"/>
      <c r="X19" s="54"/>
      <c r="Y19" s="55"/>
      <c r="Z19" s="50"/>
      <c r="AA19" s="51"/>
      <c r="AB19" s="51"/>
      <c r="AC19" s="52"/>
      <c r="AD19" s="83"/>
      <c r="AE19" s="84"/>
      <c r="AF19" s="84"/>
      <c r="AG19" s="85"/>
    </row>
    <row r="20" spans="2:33" x14ac:dyDescent="0.25">
      <c r="B20" s="25">
        <v>46207</v>
      </c>
      <c r="C20" s="32">
        <v>0.79166666666666663</v>
      </c>
      <c r="D20" s="27"/>
      <c r="E20" s="28" t="s">
        <v>1</v>
      </c>
      <c r="F20" s="29"/>
      <c r="G20" s="27"/>
      <c r="H20" s="28" t="s">
        <v>1</v>
      </c>
      <c r="I20" s="29"/>
      <c r="J20" s="27"/>
      <c r="K20" s="28" t="s">
        <v>1</v>
      </c>
      <c r="L20" s="29"/>
      <c r="M20" s="11" t="str">
        <f>IF(ISBLANK($I20)=TRUE,"",IF(SIGN(J20-L20)=SIGN($G20-$I20),1,0)+IF(J20=$G20,IF(L20=$I20,2,0),0))</f>
        <v/>
      </c>
      <c r="N20" s="27"/>
      <c r="O20" s="28" t="s">
        <v>1</v>
      </c>
      <c r="P20" s="29"/>
      <c r="Q20" s="11" t="str">
        <f>IF(ISBLANK($I20)=TRUE,"",IF(SIGN(N20-P20)=SIGN($G20-$I20),1,0)+IF(N20=$G20,IF(P20=$I20,2,0),0))</f>
        <v/>
      </c>
      <c r="R20" s="27"/>
      <c r="S20" s="28" t="s">
        <v>1</v>
      </c>
      <c r="T20" s="29"/>
      <c r="U20" s="11" t="str">
        <f>IF(ISBLANK($I20)=TRUE,"",IF(SIGN(R20-T20)=SIGN($G20-$I20),1,0)+IF(R20=$G20,IF(T20=$I20,2,0),0))</f>
        <v/>
      </c>
      <c r="V20" s="27"/>
      <c r="W20" s="28" t="s">
        <v>1</v>
      </c>
      <c r="X20" s="29"/>
      <c r="Y20" s="11" t="str">
        <f>IF(ISBLANK($I20)=TRUE,"",IF(SIGN(V20-X20)=SIGN($G20-$I20),1,0)+IF(V20=$G20,IF(X20=$I20,2,0),0))</f>
        <v/>
      </c>
      <c r="Z20" s="27"/>
      <c r="AA20" s="28" t="s">
        <v>1</v>
      </c>
      <c r="AB20" s="29"/>
      <c r="AC20" s="11" t="str">
        <f>IF(ISBLANK($I20)=TRUE,"",IF(SIGN(Z20-AB20)=SIGN($G20-$I20),1,0)+IF(Z20=$G20,IF(AB20=$I20,2,0),0))</f>
        <v/>
      </c>
      <c r="AD20" s="27"/>
      <c r="AE20" s="28" t="s">
        <v>1</v>
      </c>
      <c r="AF20" s="29"/>
      <c r="AG20" s="11" t="str">
        <f>IF(ISBLANK($I20)=TRUE,"",IF(SIGN(AD20-AF20)=SIGN($G20-$I20),1,0)+IF(AD20=$G20,IF(AF20=$I20,2,0),0))</f>
        <v/>
      </c>
    </row>
    <row r="21" spans="2:33" x14ac:dyDescent="0.25">
      <c r="B21" s="12">
        <v>46207</v>
      </c>
      <c r="C21" s="33">
        <v>0.95833333333333337</v>
      </c>
      <c r="D21" s="3"/>
      <c r="E21" s="1" t="s">
        <v>1</v>
      </c>
      <c r="F21" s="5"/>
      <c r="G21" s="3"/>
      <c r="H21" s="1" t="s">
        <v>1</v>
      </c>
      <c r="I21" s="5"/>
      <c r="J21" s="3"/>
      <c r="K21" s="1" t="s">
        <v>1</v>
      </c>
      <c r="L21" s="5"/>
      <c r="M21" s="9" t="str">
        <f t="shared" ref="M21:M27" si="13">IF(ISBLANK($G21)=TRUE,"",IF(SIGN(J21-L21)=SIGN($G21-$I21),1,0)+IF(J21=$G21,IF(L21=$I21,2,0),0))</f>
        <v/>
      </c>
      <c r="N21" s="3"/>
      <c r="O21" s="1" t="s">
        <v>1</v>
      </c>
      <c r="P21" s="5"/>
      <c r="Q21" s="9" t="str">
        <f t="shared" ref="Q21:Q27" si="14">IF(ISBLANK($G21)=TRUE,"",IF(SIGN(N21-P21)=SIGN($G21-$I21),1,0)+IF(N21=$G21,IF(P21=$I21,2,0),0))</f>
        <v/>
      </c>
      <c r="R21" s="3"/>
      <c r="S21" s="1" t="s">
        <v>1</v>
      </c>
      <c r="T21" s="5"/>
      <c r="U21" s="9" t="str">
        <f t="shared" ref="U21:U27" si="15">IF(ISBLANK($G21)=TRUE,"",IF(SIGN(R21-T21)=SIGN($G21-$I21),1,0)+IF(R21=$G21,IF(T21=$I21,2,0),0))</f>
        <v/>
      </c>
      <c r="V21" s="3"/>
      <c r="W21" s="1" t="s">
        <v>1</v>
      </c>
      <c r="X21" s="5"/>
      <c r="Y21" s="9" t="str">
        <f t="shared" ref="Y21:Y27" si="16">IF(ISBLANK($G21)=TRUE,"",IF(SIGN(V21-X21)=SIGN($G21-$I21),1,0)+IF(V21=$G21,IF(X21=$I21,2,0),0))</f>
        <v/>
      </c>
      <c r="Z21" s="3"/>
      <c r="AA21" s="1" t="s">
        <v>1</v>
      </c>
      <c r="AB21" s="5"/>
      <c r="AC21" s="9" t="str">
        <f t="shared" ref="AC21:AC27" si="17">IF(ISBLANK($G21)=TRUE,"",IF(SIGN(Z21-AB21)=SIGN($G21-$I21),1,0)+IF(Z21=$G21,IF(AB21=$I21,2,0),0))</f>
        <v/>
      </c>
      <c r="AD21" s="3"/>
      <c r="AE21" s="1" t="s">
        <v>1</v>
      </c>
      <c r="AF21" s="5"/>
      <c r="AG21" s="9" t="str">
        <f t="shared" ref="AG21:AG27" si="18">IF(ISBLANK($G21)=TRUE,"",IF(SIGN(AD21-AF21)=SIGN($G21-$I21),1,0)+IF(AD21=$G21,IF(AF21=$I21,2,0),0))</f>
        <v/>
      </c>
    </row>
    <row r="22" spans="2:33" x14ac:dyDescent="0.25">
      <c r="B22" s="12">
        <v>46208</v>
      </c>
      <c r="C22" s="33">
        <v>0.91666666666666663</v>
      </c>
      <c r="D22" s="3"/>
      <c r="E22" s="1" t="s">
        <v>1</v>
      </c>
      <c r="F22" s="5"/>
      <c r="G22" s="3"/>
      <c r="H22" s="1" t="s">
        <v>1</v>
      </c>
      <c r="I22" s="5"/>
      <c r="J22" s="3"/>
      <c r="K22" s="1" t="s">
        <v>1</v>
      </c>
      <c r="L22" s="5"/>
      <c r="M22" s="9" t="str">
        <f t="shared" si="13"/>
        <v/>
      </c>
      <c r="N22" s="3"/>
      <c r="O22" s="1" t="s">
        <v>1</v>
      </c>
      <c r="P22" s="5"/>
      <c r="Q22" s="9" t="str">
        <f t="shared" si="14"/>
        <v/>
      </c>
      <c r="R22" s="3"/>
      <c r="S22" s="1" t="s">
        <v>1</v>
      </c>
      <c r="T22" s="5"/>
      <c r="U22" s="9" t="str">
        <f t="shared" si="15"/>
        <v/>
      </c>
      <c r="V22" s="3"/>
      <c r="W22" s="1" t="s">
        <v>1</v>
      </c>
      <c r="X22" s="5"/>
      <c r="Y22" s="9" t="str">
        <f t="shared" si="16"/>
        <v/>
      </c>
      <c r="Z22" s="3"/>
      <c r="AA22" s="1" t="s">
        <v>1</v>
      </c>
      <c r="AB22" s="5"/>
      <c r="AC22" s="9" t="str">
        <f t="shared" si="17"/>
        <v/>
      </c>
      <c r="AD22" s="3"/>
      <c r="AE22" s="1" t="s">
        <v>1</v>
      </c>
      <c r="AF22" s="5"/>
      <c r="AG22" s="9" t="str">
        <f t="shared" si="18"/>
        <v/>
      </c>
    </row>
    <row r="23" spans="2:33" x14ac:dyDescent="0.25">
      <c r="B23" s="12">
        <v>46209</v>
      </c>
      <c r="C23" s="33">
        <v>8.3333333333333329E-2</v>
      </c>
      <c r="D23" s="3"/>
      <c r="E23" s="1" t="s">
        <v>1</v>
      </c>
      <c r="F23" s="5"/>
      <c r="G23" s="3"/>
      <c r="H23" s="1" t="s">
        <v>1</v>
      </c>
      <c r="I23" s="5"/>
      <c r="J23" s="3"/>
      <c r="K23" s="1" t="s">
        <v>1</v>
      </c>
      <c r="L23" s="5"/>
      <c r="M23" s="9" t="str">
        <f t="shared" si="13"/>
        <v/>
      </c>
      <c r="N23" s="3"/>
      <c r="O23" s="1" t="s">
        <v>1</v>
      </c>
      <c r="P23" s="5"/>
      <c r="Q23" s="9" t="str">
        <f t="shared" si="14"/>
        <v/>
      </c>
      <c r="R23" s="3"/>
      <c r="S23" s="1" t="s">
        <v>1</v>
      </c>
      <c r="T23" s="5"/>
      <c r="U23" s="9" t="str">
        <f t="shared" si="15"/>
        <v/>
      </c>
      <c r="V23" s="3"/>
      <c r="W23" s="1" t="s">
        <v>1</v>
      </c>
      <c r="X23" s="5"/>
      <c r="Y23" s="9" t="str">
        <f t="shared" si="16"/>
        <v/>
      </c>
      <c r="Z23" s="3"/>
      <c r="AA23" s="1" t="s">
        <v>1</v>
      </c>
      <c r="AB23" s="5"/>
      <c r="AC23" s="9" t="str">
        <f t="shared" si="17"/>
        <v/>
      </c>
      <c r="AD23" s="3"/>
      <c r="AE23" s="1" t="s">
        <v>1</v>
      </c>
      <c r="AF23" s="5"/>
      <c r="AG23" s="9" t="str">
        <f t="shared" si="18"/>
        <v/>
      </c>
    </row>
    <row r="24" spans="2:33" x14ac:dyDescent="0.25">
      <c r="B24" s="12">
        <v>46209</v>
      </c>
      <c r="C24" s="33">
        <v>0.875</v>
      </c>
      <c r="D24" s="3"/>
      <c r="E24" s="1" t="s">
        <v>1</v>
      </c>
      <c r="F24" s="5"/>
      <c r="G24" s="3"/>
      <c r="H24" s="1" t="s">
        <v>1</v>
      </c>
      <c r="I24" s="5"/>
      <c r="J24" s="3"/>
      <c r="K24" s="1" t="s">
        <v>1</v>
      </c>
      <c r="L24" s="5"/>
      <c r="M24" s="9" t="str">
        <f t="shared" ref="M24:M26" si="19">IF(ISBLANK($G24)=TRUE,"",IF(SIGN(J24-L24)=SIGN($G24-$I24),1,0)+IF(J24=$G24,IF(L24=$I24,2,0),0))</f>
        <v/>
      </c>
      <c r="N24" s="3"/>
      <c r="O24" s="1" t="s">
        <v>1</v>
      </c>
      <c r="P24" s="5"/>
      <c r="Q24" s="9" t="str">
        <f t="shared" si="14"/>
        <v/>
      </c>
      <c r="R24" s="3"/>
      <c r="S24" s="1" t="s">
        <v>1</v>
      </c>
      <c r="T24" s="5"/>
      <c r="U24" s="9" t="str">
        <f t="shared" si="15"/>
        <v/>
      </c>
      <c r="V24" s="3"/>
      <c r="W24" s="1" t="s">
        <v>1</v>
      </c>
      <c r="X24" s="5"/>
      <c r="Y24" s="9" t="str">
        <f t="shared" si="16"/>
        <v/>
      </c>
      <c r="Z24" s="3"/>
      <c r="AA24" s="1" t="s">
        <v>1</v>
      </c>
      <c r="AB24" s="5"/>
      <c r="AC24" s="9" t="str">
        <f t="shared" si="17"/>
        <v/>
      </c>
      <c r="AD24" s="3"/>
      <c r="AE24" s="1" t="s">
        <v>1</v>
      </c>
      <c r="AF24" s="5"/>
      <c r="AG24" s="9" t="str">
        <f t="shared" si="18"/>
        <v/>
      </c>
    </row>
    <row r="25" spans="2:33" x14ac:dyDescent="0.25">
      <c r="B25" s="12">
        <v>46210</v>
      </c>
      <c r="C25" s="33">
        <v>8.3333333333333329E-2</v>
      </c>
      <c r="D25" s="3"/>
      <c r="E25" s="1" t="s">
        <v>1</v>
      </c>
      <c r="F25" s="5"/>
      <c r="G25" s="3"/>
      <c r="H25" s="1" t="s">
        <v>1</v>
      </c>
      <c r="I25" s="5"/>
      <c r="J25" s="3"/>
      <c r="K25" s="1" t="s">
        <v>1</v>
      </c>
      <c r="L25" s="5"/>
      <c r="M25" s="9" t="str">
        <f t="shared" si="19"/>
        <v/>
      </c>
      <c r="N25" s="3"/>
      <c r="O25" s="1" t="s">
        <v>1</v>
      </c>
      <c r="P25" s="5"/>
      <c r="Q25" s="9" t="str">
        <f t="shared" si="14"/>
        <v/>
      </c>
      <c r="R25" s="3"/>
      <c r="S25" s="1" t="s">
        <v>1</v>
      </c>
      <c r="T25" s="5"/>
      <c r="U25" s="9" t="str">
        <f t="shared" si="15"/>
        <v/>
      </c>
      <c r="V25" s="3"/>
      <c r="W25" s="1" t="s">
        <v>1</v>
      </c>
      <c r="X25" s="5"/>
      <c r="Y25" s="9" t="str">
        <f t="shared" si="16"/>
        <v/>
      </c>
      <c r="Z25" s="3"/>
      <c r="AA25" s="1" t="s">
        <v>1</v>
      </c>
      <c r="AB25" s="5"/>
      <c r="AC25" s="9" t="str">
        <f t="shared" si="17"/>
        <v/>
      </c>
      <c r="AD25" s="3"/>
      <c r="AE25" s="1" t="s">
        <v>1</v>
      </c>
      <c r="AF25" s="5"/>
      <c r="AG25" s="9" t="str">
        <f t="shared" si="18"/>
        <v/>
      </c>
    </row>
    <row r="26" spans="2:33" x14ac:dyDescent="0.25">
      <c r="B26" s="12">
        <v>46210</v>
      </c>
      <c r="C26" s="33">
        <v>0.75</v>
      </c>
      <c r="D26" s="3"/>
      <c r="E26" s="1" t="s">
        <v>1</v>
      </c>
      <c r="F26" s="5"/>
      <c r="G26" s="3"/>
      <c r="H26" s="1" t="s">
        <v>1</v>
      </c>
      <c r="I26" s="5"/>
      <c r="J26" s="3"/>
      <c r="K26" s="1" t="s">
        <v>1</v>
      </c>
      <c r="L26" s="5"/>
      <c r="M26" s="9" t="str">
        <f t="shared" si="19"/>
        <v/>
      </c>
      <c r="N26" s="3"/>
      <c r="O26" s="1" t="s">
        <v>1</v>
      </c>
      <c r="P26" s="5"/>
      <c r="Q26" s="9" t="str">
        <f t="shared" si="14"/>
        <v/>
      </c>
      <c r="R26" s="3"/>
      <c r="S26" s="1" t="s">
        <v>1</v>
      </c>
      <c r="T26" s="5"/>
      <c r="U26" s="9" t="str">
        <f t="shared" si="15"/>
        <v/>
      </c>
      <c r="V26" s="3"/>
      <c r="W26" s="1" t="s">
        <v>1</v>
      </c>
      <c r="X26" s="5"/>
      <c r="Y26" s="9" t="str">
        <f t="shared" si="16"/>
        <v/>
      </c>
      <c r="Z26" s="3"/>
      <c r="AA26" s="1" t="s">
        <v>1</v>
      </c>
      <c r="AB26" s="5"/>
      <c r="AC26" s="9" t="str">
        <f t="shared" si="17"/>
        <v/>
      </c>
      <c r="AD26" s="3"/>
      <c r="AE26" s="1" t="s">
        <v>1</v>
      </c>
      <c r="AF26" s="5"/>
      <c r="AG26" s="9" t="str">
        <f t="shared" si="18"/>
        <v/>
      </c>
    </row>
    <row r="27" spans="2:33" ht="15.75" thickBot="1" x14ac:dyDescent="0.3">
      <c r="B27" s="13">
        <v>46210</v>
      </c>
      <c r="C27" s="33">
        <v>0.91666666666666663</v>
      </c>
      <c r="D27" s="3"/>
      <c r="E27" s="1" t="s">
        <v>1</v>
      </c>
      <c r="F27" s="5"/>
      <c r="G27" s="3"/>
      <c r="H27" s="1" t="s">
        <v>1</v>
      </c>
      <c r="I27" s="5"/>
      <c r="J27" s="3"/>
      <c r="K27" s="1" t="s">
        <v>1</v>
      </c>
      <c r="L27" s="5"/>
      <c r="M27" s="9" t="str">
        <f t="shared" si="13"/>
        <v/>
      </c>
      <c r="N27" s="3"/>
      <c r="O27" s="1" t="s">
        <v>1</v>
      </c>
      <c r="P27" s="5"/>
      <c r="Q27" s="9" t="str">
        <f t="shared" si="14"/>
        <v/>
      </c>
      <c r="R27" s="3"/>
      <c r="S27" s="1" t="s">
        <v>1</v>
      </c>
      <c r="T27" s="5"/>
      <c r="U27" s="9" t="str">
        <f t="shared" si="15"/>
        <v/>
      </c>
      <c r="V27" s="3"/>
      <c r="W27" s="1" t="s">
        <v>1</v>
      </c>
      <c r="X27" s="5"/>
      <c r="Y27" s="9" t="str">
        <f t="shared" si="16"/>
        <v/>
      </c>
      <c r="Z27" s="3"/>
      <c r="AA27" s="1" t="s">
        <v>1</v>
      </c>
      <c r="AB27" s="5"/>
      <c r="AC27" s="9" t="str">
        <f t="shared" si="17"/>
        <v/>
      </c>
      <c r="AD27" s="3"/>
      <c r="AE27" s="1" t="s">
        <v>1</v>
      </c>
      <c r="AF27" s="5"/>
      <c r="AG27" s="9" t="str">
        <f t="shared" si="18"/>
        <v/>
      </c>
    </row>
    <row r="28" spans="2:33" ht="15.75" thickBot="1" x14ac:dyDescent="0.3">
      <c r="B28" s="75" t="s">
        <v>77</v>
      </c>
      <c r="C28" s="76" t="s">
        <v>78</v>
      </c>
      <c r="D28" s="123" t="s">
        <v>120</v>
      </c>
      <c r="E28" s="124"/>
      <c r="F28" s="125"/>
      <c r="G28" s="72" t="s">
        <v>7</v>
      </c>
      <c r="H28" s="73"/>
      <c r="I28" s="74"/>
      <c r="J28" s="34"/>
      <c r="K28" s="36"/>
      <c r="L28" s="36"/>
      <c r="M28" s="35"/>
      <c r="N28" s="44"/>
      <c r="O28" s="45"/>
      <c r="P28" s="45"/>
      <c r="Q28" s="46"/>
      <c r="R28" s="41"/>
      <c r="S28" s="42"/>
      <c r="T28" s="42"/>
      <c r="U28" s="43"/>
      <c r="V28" s="53"/>
      <c r="W28" s="54"/>
      <c r="X28" s="54"/>
      <c r="Y28" s="55"/>
      <c r="Z28" s="50"/>
      <c r="AA28" s="51"/>
      <c r="AB28" s="51"/>
      <c r="AC28" s="52"/>
      <c r="AD28" s="83"/>
      <c r="AE28" s="84"/>
      <c r="AF28" s="84"/>
      <c r="AG28" s="85"/>
    </row>
    <row r="29" spans="2:33" x14ac:dyDescent="0.25">
      <c r="B29" s="25">
        <v>46212</v>
      </c>
      <c r="C29" s="32">
        <v>0.91666666666666663</v>
      </c>
      <c r="D29" s="27"/>
      <c r="E29" s="28" t="s">
        <v>1</v>
      </c>
      <c r="F29" s="29"/>
      <c r="G29" s="27"/>
      <c r="H29" s="28" t="s">
        <v>1</v>
      </c>
      <c r="I29" s="29"/>
      <c r="J29" s="27"/>
      <c r="K29" s="28" t="s">
        <v>1</v>
      </c>
      <c r="L29" s="29"/>
      <c r="M29" s="11" t="str">
        <f>IF(ISBLANK($I29)=TRUE,"",IF(SIGN(J29-L29)=SIGN($G29-$I29),1,0)+IF(J29=$G29,IF(L29=$I29,2,0),0))</f>
        <v/>
      </c>
      <c r="N29" s="27"/>
      <c r="O29" s="28" t="s">
        <v>1</v>
      </c>
      <c r="P29" s="29"/>
      <c r="Q29" s="11" t="str">
        <f>IF(ISBLANK($I29)=TRUE,"",IF(SIGN(N29-P29)=SIGN($G29-$I29),1,0)+IF(N29=$G29,IF(P29=$I29,2,0),0))</f>
        <v/>
      </c>
      <c r="R29" s="27"/>
      <c r="S29" s="28" t="s">
        <v>1</v>
      </c>
      <c r="T29" s="29"/>
      <c r="U29" s="11" t="str">
        <f>IF(ISBLANK($I29)=TRUE,"",IF(SIGN(R29-T29)=SIGN($G29-$I29),1,0)+IF(R29=$G29,IF(T29=$I29,2,0),0))</f>
        <v/>
      </c>
      <c r="V29" s="27"/>
      <c r="W29" s="28" t="s">
        <v>1</v>
      </c>
      <c r="X29" s="29"/>
      <c r="Y29" s="11" t="str">
        <f>IF(ISBLANK($I29)=TRUE,"",IF(SIGN(V29-X29)=SIGN($G29-$I29),1,0)+IF(V29=$G29,IF(X29=$I29,2,0),0))</f>
        <v/>
      </c>
      <c r="Z29" s="27"/>
      <c r="AA29" s="28" t="s">
        <v>1</v>
      </c>
      <c r="AB29" s="29"/>
      <c r="AC29" s="11" t="str">
        <f>IF(ISBLANK($I29)=TRUE,"",IF(SIGN(Z29-AB29)=SIGN($G29-$I29),1,0)+IF(Z29=$G29,IF(AB29=$I29,2,0),0))</f>
        <v/>
      </c>
      <c r="AD29" s="27"/>
      <c r="AE29" s="28" t="s">
        <v>1</v>
      </c>
      <c r="AF29" s="29"/>
      <c r="AG29" s="11" t="str">
        <f>IF(ISBLANK($I29)=TRUE,"",IF(SIGN(AD29-AF29)=SIGN($G29-$I29),1,0)+IF(AD29=$G29,IF(AF29=$I29,2,0),0))</f>
        <v/>
      </c>
    </row>
    <row r="30" spans="2:33" x14ac:dyDescent="0.25">
      <c r="B30" s="12">
        <v>46213</v>
      </c>
      <c r="C30" s="33">
        <v>0.875</v>
      </c>
      <c r="D30" s="3"/>
      <c r="E30" s="1" t="s">
        <v>1</v>
      </c>
      <c r="F30" s="5"/>
      <c r="G30" s="3"/>
      <c r="H30" s="1" t="s">
        <v>1</v>
      </c>
      <c r="I30" s="5"/>
      <c r="J30" s="3"/>
      <c r="K30" s="1" t="s">
        <v>1</v>
      </c>
      <c r="L30" s="5"/>
      <c r="M30" s="9" t="str">
        <f t="shared" ref="M30:M32" si="20">IF(ISBLANK($G30)=TRUE,"",IF(SIGN(J30-L30)=SIGN($G30-$I30),1,0)+IF(J30=$G30,IF(L30=$I30,2,0),0))</f>
        <v/>
      </c>
      <c r="N30" s="3"/>
      <c r="O30" s="1" t="s">
        <v>1</v>
      </c>
      <c r="P30" s="5"/>
      <c r="Q30" s="9" t="str">
        <f t="shared" ref="Q30:Q32" si="21">IF(ISBLANK($G30)=TRUE,"",IF(SIGN(N30-P30)=SIGN($G30-$I30),1,0)+IF(N30=$G30,IF(P30=$I30,2,0),0))</f>
        <v/>
      </c>
      <c r="R30" s="3"/>
      <c r="S30" s="1" t="s">
        <v>1</v>
      </c>
      <c r="T30" s="5"/>
      <c r="U30" s="9" t="str">
        <f t="shared" ref="U30:U32" si="22">IF(ISBLANK($G30)=TRUE,"",IF(SIGN(R30-T30)=SIGN($G30-$I30),1,0)+IF(R30=$G30,IF(T30=$I30,2,0),0))</f>
        <v/>
      </c>
      <c r="V30" s="3"/>
      <c r="W30" s="1" t="s">
        <v>1</v>
      </c>
      <c r="X30" s="5"/>
      <c r="Y30" s="9" t="str">
        <f t="shared" ref="Y30:Y32" si="23">IF(ISBLANK($G30)=TRUE,"",IF(SIGN(V30-X30)=SIGN($G30-$I30),1,0)+IF(V30=$G30,IF(X30=$I30,2,0),0))</f>
        <v/>
      </c>
      <c r="Z30" s="3"/>
      <c r="AA30" s="1" t="s">
        <v>1</v>
      </c>
      <c r="AB30" s="5"/>
      <c r="AC30" s="9" t="str">
        <f t="shared" ref="AC30:AC32" si="24">IF(ISBLANK($G30)=TRUE,"",IF(SIGN(Z30-AB30)=SIGN($G30-$I30),1,0)+IF(Z30=$G30,IF(AB30=$I30,2,0),0))</f>
        <v/>
      </c>
      <c r="AD30" s="3"/>
      <c r="AE30" s="1" t="s">
        <v>1</v>
      </c>
      <c r="AF30" s="5"/>
      <c r="AG30" s="9" t="str">
        <f t="shared" ref="AG30:AG32" si="25">IF(ISBLANK($G30)=TRUE,"",IF(SIGN(AD30-AF30)=SIGN($G30-$I30),1,0)+IF(AD30=$G30,IF(AF30=$I30,2,0),0))</f>
        <v/>
      </c>
    </row>
    <row r="31" spans="2:33" x14ac:dyDescent="0.25">
      <c r="B31" s="12">
        <v>46214</v>
      </c>
      <c r="C31" s="33">
        <v>0.95833333333333337</v>
      </c>
      <c r="D31" s="3"/>
      <c r="E31" s="1" t="s">
        <v>1</v>
      </c>
      <c r="F31" s="5"/>
      <c r="G31" s="3"/>
      <c r="H31" s="1" t="s">
        <v>1</v>
      </c>
      <c r="I31" s="5"/>
      <c r="J31" s="3"/>
      <c r="K31" s="1" t="s">
        <v>1</v>
      </c>
      <c r="L31" s="5"/>
      <c r="M31" s="9" t="str">
        <f t="shared" si="20"/>
        <v/>
      </c>
      <c r="N31" s="3"/>
      <c r="O31" s="1" t="s">
        <v>1</v>
      </c>
      <c r="P31" s="5"/>
      <c r="Q31" s="9" t="str">
        <f t="shared" si="21"/>
        <v/>
      </c>
      <c r="R31" s="3"/>
      <c r="S31" s="1" t="s">
        <v>1</v>
      </c>
      <c r="T31" s="5"/>
      <c r="U31" s="9" t="str">
        <f t="shared" si="22"/>
        <v/>
      </c>
      <c r="V31" s="3"/>
      <c r="W31" s="1" t="s">
        <v>1</v>
      </c>
      <c r="X31" s="5"/>
      <c r="Y31" s="9" t="str">
        <f t="shared" si="23"/>
        <v/>
      </c>
      <c r="Z31" s="3"/>
      <c r="AA31" s="1" t="s">
        <v>1</v>
      </c>
      <c r="AB31" s="5"/>
      <c r="AC31" s="9" t="str">
        <f t="shared" si="24"/>
        <v/>
      </c>
      <c r="AD31" s="3"/>
      <c r="AE31" s="1" t="s">
        <v>1</v>
      </c>
      <c r="AF31" s="5"/>
      <c r="AG31" s="9" t="str">
        <f t="shared" si="25"/>
        <v/>
      </c>
    </row>
    <row r="32" spans="2:33" ht="15.75" thickBot="1" x14ac:dyDescent="0.3">
      <c r="B32" s="12">
        <v>46215</v>
      </c>
      <c r="C32" s="33">
        <v>0.125</v>
      </c>
      <c r="D32" s="3"/>
      <c r="E32" s="1" t="s">
        <v>1</v>
      </c>
      <c r="F32" s="5"/>
      <c r="G32" s="3"/>
      <c r="H32" s="1" t="s">
        <v>1</v>
      </c>
      <c r="I32" s="5"/>
      <c r="J32" s="3"/>
      <c r="K32" s="1" t="s">
        <v>1</v>
      </c>
      <c r="L32" s="5"/>
      <c r="M32" s="9" t="str">
        <f t="shared" si="20"/>
        <v/>
      </c>
      <c r="N32" s="3"/>
      <c r="O32" s="1" t="s">
        <v>1</v>
      </c>
      <c r="P32" s="5"/>
      <c r="Q32" s="9" t="str">
        <f t="shared" si="21"/>
        <v/>
      </c>
      <c r="R32" s="3"/>
      <c r="S32" s="1" t="s">
        <v>1</v>
      </c>
      <c r="T32" s="5"/>
      <c r="U32" s="9" t="str">
        <f t="shared" si="22"/>
        <v/>
      </c>
      <c r="V32" s="3"/>
      <c r="W32" s="1" t="s">
        <v>1</v>
      </c>
      <c r="X32" s="5"/>
      <c r="Y32" s="9" t="str">
        <f t="shared" si="23"/>
        <v/>
      </c>
      <c r="Z32" s="3"/>
      <c r="AA32" s="1" t="s">
        <v>1</v>
      </c>
      <c r="AB32" s="5"/>
      <c r="AC32" s="9" t="str">
        <f t="shared" si="24"/>
        <v/>
      </c>
      <c r="AD32" s="3"/>
      <c r="AE32" s="1" t="s">
        <v>1</v>
      </c>
      <c r="AF32" s="5"/>
      <c r="AG32" s="9" t="str">
        <f t="shared" si="25"/>
        <v/>
      </c>
    </row>
    <row r="33" spans="2:33" ht="15.75" thickBot="1" x14ac:dyDescent="0.3">
      <c r="B33" s="75" t="s">
        <v>77</v>
      </c>
      <c r="C33" s="76" t="s">
        <v>78</v>
      </c>
      <c r="D33" s="123" t="s">
        <v>121</v>
      </c>
      <c r="E33" s="124"/>
      <c r="F33" s="125"/>
      <c r="G33" s="72" t="s">
        <v>7</v>
      </c>
      <c r="H33" s="73"/>
      <c r="I33" s="74"/>
      <c r="J33" s="34"/>
      <c r="K33" s="36"/>
      <c r="L33" s="36"/>
      <c r="M33" s="35"/>
      <c r="N33" s="44"/>
      <c r="O33" s="45"/>
      <c r="P33" s="45"/>
      <c r="Q33" s="46"/>
      <c r="R33" s="41"/>
      <c r="S33" s="42"/>
      <c r="T33" s="42"/>
      <c r="U33" s="43"/>
      <c r="V33" s="53"/>
      <c r="W33" s="54"/>
      <c r="X33" s="54"/>
      <c r="Y33" s="55"/>
      <c r="Z33" s="50"/>
      <c r="AA33" s="51"/>
      <c r="AB33" s="51"/>
      <c r="AC33" s="52"/>
      <c r="AD33" s="83"/>
      <c r="AE33" s="84"/>
      <c r="AF33" s="84"/>
      <c r="AG33" s="85"/>
    </row>
    <row r="34" spans="2:33" x14ac:dyDescent="0.25">
      <c r="B34" s="25">
        <v>46217</v>
      </c>
      <c r="C34" s="32">
        <v>0.875</v>
      </c>
      <c r="D34" s="27"/>
      <c r="E34" s="28" t="s">
        <v>1</v>
      </c>
      <c r="F34" s="29"/>
      <c r="G34" s="27"/>
      <c r="H34" s="28" t="s">
        <v>1</v>
      </c>
      <c r="I34" s="29"/>
      <c r="J34" s="27"/>
      <c r="K34" s="28" t="s">
        <v>1</v>
      </c>
      <c r="L34" s="29"/>
      <c r="M34" s="11" t="str">
        <f>IF(ISBLANK($I34)=TRUE,"",IF(SIGN(J34-L34)=SIGN($G34-$I34),1,0)+IF(J34=$G34,IF(L34=$I34,2,0),0))</f>
        <v/>
      </c>
      <c r="N34" s="27"/>
      <c r="O34" s="28" t="s">
        <v>1</v>
      </c>
      <c r="P34" s="29"/>
      <c r="Q34" s="11" t="str">
        <f>IF(ISBLANK($I34)=TRUE,"",IF(SIGN(N34-P34)=SIGN($G34-$I34),1,0)+IF(N34=$G34,IF(P34=$I34,2,0),0))</f>
        <v/>
      </c>
      <c r="R34" s="27"/>
      <c r="S34" s="28" t="s">
        <v>1</v>
      </c>
      <c r="T34" s="29"/>
      <c r="U34" s="11" t="str">
        <f>IF(ISBLANK($I34)=TRUE,"",IF(SIGN(R34-T34)=SIGN($G34-$I34),1,0)+IF(R34=$G34,IF(T34=$I34,2,0),0))</f>
        <v/>
      </c>
      <c r="V34" s="27"/>
      <c r="W34" s="28" t="s">
        <v>1</v>
      </c>
      <c r="X34" s="29"/>
      <c r="Y34" s="11" t="str">
        <f>IF(ISBLANK($I34)=TRUE,"",IF(SIGN(V34-X34)=SIGN($G34-$I34),1,0)+IF(V34=$G34,IF(X34=$I34,2,0),0))</f>
        <v/>
      </c>
      <c r="Z34" s="27"/>
      <c r="AA34" s="28" t="s">
        <v>1</v>
      </c>
      <c r="AB34" s="29"/>
      <c r="AC34" s="11" t="str">
        <f>IF(ISBLANK($I34)=TRUE,"",IF(SIGN(Z34-AB34)=SIGN($G34-$I34),1,0)+IF(Z34=$G34,IF(AB34=$I34,2,0),0))</f>
        <v/>
      </c>
      <c r="AD34" s="27"/>
      <c r="AE34" s="28" t="s">
        <v>1</v>
      </c>
      <c r="AF34" s="29"/>
      <c r="AG34" s="11" t="str">
        <f>IF(ISBLANK($I34)=TRUE,"",IF(SIGN(AD34-AF34)=SIGN($G34-$I34),1,0)+IF(AD34=$G34,IF(AF34=$I34,2,0),0))</f>
        <v/>
      </c>
    </row>
    <row r="35" spans="2:33" ht="15.75" thickBot="1" x14ac:dyDescent="0.3">
      <c r="B35" s="12">
        <v>46218</v>
      </c>
      <c r="C35" s="33">
        <v>0.875</v>
      </c>
      <c r="D35" s="3"/>
      <c r="E35" s="1" t="s">
        <v>1</v>
      </c>
      <c r="F35" s="5"/>
      <c r="G35" s="3"/>
      <c r="H35" s="1" t="s">
        <v>1</v>
      </c>
      <c r="I35" s="5"/>
      <c r="J35" s="3"/>
      <c r="K35" s="1" t="s">
        <v>1</v>
      </c>
      <c r="L35" s="5"/>
      <c r="M35" s="9" t="str">
        <f t="shared" ref="M35" si="26">IF(ISBLANK($G35)=TRUE,"",IF(SIGN(J35-L35)=SIGN($G35-$I35),1,0)+IF(J35=$G35,IF(L35=$I35,2,0),0))</f>
        <v/>
      </c>
      <c r="N35" s="3"/>
      <c r="O35" s="1" t="s">
        <v>1</v>
      </c>
      <c r="P35" s="5"/>
      <c r="Q35" s="9" t="str">
        <f t="shared" ref="Q35" si="27">IF(ISBLANK($G35)=TRUE,"",IF(SIGN(N35-P35)=SIGN($G35-$I35),1,0)+IF(N35=$G35,IF(P35=$I35,2,0),0))</f>
        <v/>
      </c>
      <c r="R35" s="3"/>
      <c r="S35" s="1" t="s">
        <v>1</v>
      </c>
      <c r="T35" s="5"/>
      <c r="U35" s="9" t="str">
        <f t="shared" ref="U35" si="28">IF(ISBLANK($G35)=TRUE,"",IF(SIGN(R35-T35)=SIGN($G35-$I35),1,0)+IF(R35=$G35,IF(T35=$I35,2,0),0))</f>
        <v/>
      </c>
      <c r="V35" s="3"/>
      <c r="W35" s="1" t="s">
        <v>1</v>
      </c>
      <c r="X35" s="5"/>
      <c r="Y35" s="9" t="str">
        <f t="shared" ref="Y35" si="29">IF(ISBLANK($G35)=TRUE,"",IF(SIGN(V35-X35)=SIGN($G35-$I35),1,0)+IF(V35=$G35,IF(X35=$I35,2,0),0))</f>
        <v/>
      </c>
      <c r="Z35" s="3"/>
      <c r="AA35" s="1" t="s">
        <v>1</v>
      </c>
      <c r="AB35" s="5"/>
      <c r="AC35" s="9" t="str">
        <f t="shared" ref="AC35" si="30">IF(ISBLANK($G35)=TRUE,"",IF(SIGN(Z35-AB35)=SIGN($G35-$I35),1,0)+IF(Z35=$G35,IF(AB35=$I35,2,0),0))</f>
        <v/>
      </c>
      <c r="AD35" s="3"/>
      <c r="AE35" s="1" t="s">
        <v>1</v>
      </c>
      <c r="AF35" s="5"/>
      <c r="AG35" s="9" t="str">
        <f t="shared" ref="AG35" si="31">IF(ISBLANK($G35)=TRUE,"",IF(SIGN(AD35-AF35)=SIGN($G35-$I35),1,0)+IF(AD35=$G35,IF(AF35=$I35,2,0),0))</f>
        <v/>
      </c>
    </row>
    <row r="36" spans="2:33" ht="15.75" thickBot="1" x14ac:dyDescent="0.3">
      <c r="B36" s="75" t="s">
        <v>77</v>
      </c>
      <c r="C36" s="76" t="s">
        <v>78</v>
      </c>
      <c r="D36" s="123" t="s">
        <v>122</v>
      </c>
      <c r="E36" s="124"/>
      <c r="F36" s="125"/>
      <c r="G36" s="72" t="s">
        <v>7</v>
      </c>
      <c r="H36" s="73"/>
      <c r="I36" s="74"/>
      <c r="J36" s="34"/>
      <c r="K36" s="36"/>
      <c r="L36" s="36"/>
      <c r="M36" s="35"/>
      <c r="N36" s="44"/>
      <c r="O36" s="45"/>
      <c r="P36" s="45"/>
      <c r="Q36" s="46"/>
      <c r="R36" s="41"/>
      <c r="S36" s="42"/>
      <c r="T36" s="42"/>
      <c r="U36" s="43"/>
      <c r="V36" s="53"/>
      <c r="W36" s="54"/>
      <c r="X36" s="54"/>
      <c r="Y36" s="55"/>
      <c r="Z36" s="50"/>
      <c r="AA36" s="51"/>
      <c r="AB36" s="51"/>
      <c r="AC36" s="52"/>
      <c r="AD36" s="83"/>
      <c r="AE36" s="84"/>
      <c r="AF36" s="84"/>
      <c r="AG36" s="85"/>
    </row>
    <row r="37" spans="2:33" ht="15.75" thickBot="1" x14ac:dyDescent="0.3">
      <c r="B37" s="25">
        <v>46221</v>
      </c>
      <c r="C37" s="32">
        <v>0.95833333333333337</v>
      </c>
      <c r="D37" s="27"/>
      <c r="E37" s="28" t="s">
        <v>1</v>
      </c>
      <c r="F37" s="29"/>
      <c r="G37" s="27"/>
      <c r="H37" s="28" t="s">
        <v>1</v>
      </c>
      <c r="I37" s="29"/>
      <c r="J37" s="27"/>
      <c r="K37" s="28" t="s">
        <v>1</v>
      </c>
      <c r="L37" s="29"/>
      <c r="M37" s="11" t="str">
        <f>IF(ISBLANK($I37)=TRUE,"",IF(SIGN(J37-L37)=SIGN($G37-$I37),1,0)+IF(J37=$G37,IF(L37=$I37,2,0),0))</f>
        <v/>
      </c>
      <c r="N37" s="27"/>
      <c r="O37" s="28" t="s">
        <v>1</v>
      </c>
      <c r="P37" s="29"/>
      <c r="Q37" s="11" t="str">
        <f>IF(ISBLANK($I37)=TRUE,"",IF(SIGN(N37-P37)=SIGN($G37-$I37),1,0)+IF(N37=$G37,IF(P37=$I37,2,0),0))</f>
        <v/>
      </c>
      <c r="R37" s="27"/>
      <c r="S37" s="28" t="s">
        <v>1</v>
      </c>
      <c r="T37" s="29"/>
      <c r="U37" s="11" t="str">
        <f>IF(ISBLANK($I37)=TRUE,"",IF(SIGN(R37-T37)=SIGN($G37-$I37),1,0)+IF(R37=$G37,IF(T37=$I37,2,0),0))</f>
        <v/>
      </c>
      <c r="V37" s="27"/>
      <c r="W37" s="28" t="s">
        <v>1</v>
      </c>
      <c r="X37" s="29"/>
      <c r="Y37" s="11" t="str">
        <f>IF(ISBLANK($I37)=TRUE,"",IF(SIGN(V37-X37)=SIGN($G37-$I37),1,0)+IF(V37=$G37,IF(X37=$I37,2,0),0))</f>
        <v/>
      </c>
      <c r="Z37" s="27"/>
      <c r="AA37" s="28" t="s">
        <v>1</v>
      </c>
      <c r="AB37" s="29"/>
      <c r="AC37" s="11" t="str">
        <f>IF(ISBLANK($I37)=TRUE,"",IF(SIGN(Z37-AB37)=SIGN($G37-$I37),1,0)+IF(Z37=$G37,IF(AB37=$I37,2,0),0))</f>
        <v/>
      </c>
      <c r="AD37" s="27"/>
      <c r="AE37" s="28" t="s">
        <v>1</v>
      </c>
      <c r="AF37" s="29"/>
      <c r="AG37" s="11" t="str">
        <f>IF(ISBLANK($I37)=TRUE,"",IF(SIGN(AD37-AF37)=SIGN($G37-$I37),1,0)+IF(AD37=$G37,IF(AF37=$I37,2,0),0))</f>
        <v/>
      </c>
    </row>
    <row r="38" spans="2:33" ht="15.75" thickBot="1" x14ac:dyDescent="0.3">
      <c r="B38" s="75" t="s">
        <v>77</v>
      </c>
      <c r="C38" s="76" t="s">
        <v>78</v>
      </c>
      <c r="D38" s="123" t="s">
        <v>123</v>
      </c>
      <c r="E38" s="124"/>
      <c r="F38" s="125"/>
      <c r="G38" s="72" t="s">
        <v>7</v>
      </c>
      <c r="H38" s="73"/>
      <c r="I38" s="74"/>
      <c r="J38" s="34"/>
      <c r="K38" s="36"/>
      <c r="L38" s="36"/>
      <c r="M38" s="35"/>
      <c r="N38" s="44"/>
      <c r="O38" s="45"/>
      <c r="P38" s="45"/>
      <c r="Q38" s="46"/>
      <c r="R38" s="41"/>
      <c r="S38" s="42"/>
      <c r="T38" s="42"/>
      <c r="U38" s="43"/>
      <c r="V38" s="53"/>
      <c r="W38" s="54"/>
      <c r="X38" s="54"/>
      <c r="Y38" s="55"/>
      <c r="Z38" s="50"/>
      <c r="AA38" s="51"/>
      <c r="AB38" s="51"/>
      <c r="AC38" s="52"/>
      <c r="AD38" s="83"/>
      <c r="AE38" s="84"/>
      <c r="AF38" s="84"/>
      <c r="AG38" s="85"/>
    </row>
    <row r="39" spans="2:33" ht="15.75" thickBot="1" x14ac:dyDescent="0.3">
      <c r="B39" s="25">
        <v>46222</v>
      </c>
      <c r="C39" s="32">
        <v>0.875</v>
      </c>
      <c r="D39" s="27"/>
      <c r="E39" s="28" t="s">
        <v>1</v>
      </c>
      <c r="F39" s="29"/>
      <c r="G39" s="27"/>
      <c r="H39" s="28" t="s">
        <v>1</v>
      </c>
      <c r="I39" s="29"/>
      <c r="J39" s="27"/>
      <c r="K39" s="28" t="s">
        <v>1</v>
      </c>
      <c r="L39" s="29"/>
      <c r="M39" s="11" t="str">
        <f>IF(ISBLANK($I39)=TRUE,"",IF(SIGN(J39-L39)=SIGN($G39-$I39),1,0)+IF(J39=$G39,IF(L39=$I39,2,0),0))</f>
        <v/>
      </c>
      <c r="N39" s="27"/>
      <c r="O39" s="28" t="s">
        <v>1</v>
      </c>
      <c r="P39" s="29"/>
      <c r="Q39" s="11" t="str">
        <f>IF(ISBLANK($I39)=TRUE,"",IF(SIGN(N39-P39)=SIGN($G39-$I39),1,0)+IF(N39=$G39,IF(P39=$I39,2,0),0))</f>
        <v/>
      </c>
      <c r="R39" s="27"/>
      <c r="S39" s="28" t="s">
        <v>1</v>
      </c>
      <c r="T39" s="29"/>
      <c r="U39" s="11" t="str">
        <f>IF(ISBLANK($I39)=TRUE,"",IF(SIGN(R39-T39)=SIGN($G39-$I39),1,0)+IF(R39=$G39,IF(T39=$I39,2,0),0))</f>
        <v/>
      </c>
      <c r="V39" s="27"/>
      <c r="W39" s="28" t="s">
        <v>1</v>
      </c>
      <c r="X39" s="29"/>
      <c r="Y39" s="11" t="str">
        <f>IF(ISBLANK($I39)=TRUE,"",IF(SIGN(V39-X39)=SIGN($G39-$I39),1,0)+IF(V39=$G39,IF(X39=$I39,2,0),0))</f>
        <v/>
      </c>
      <c r="Z39" s="27"/>
      <c r="AA39" s="28" t="s">
        <v>1</v>
      </c>
      <c r="AB39" s="29"/>
      <c r="AC39" s="11" t="str">
        <f>IF(ISBLANK($I39)=TRUE,"",IF(SIGN(Z39-AB39)=SIGN($G39-$I39),1,0)+IF(Z39=$G39,IF(AB39=$I39,2,0),0))</f>
        <v/>
      </c>
      <c r="AD39" s="27"/>
      <c r="AE39" s="28" t="s">
        <v>1</v>
      </c>
      <c r="AF39" s="29"/>
      <c r="AG39" s="11" t="str">
        <f>IF(ISBLANK($I39)=TRUE,"",IF(SIGN(AD39-AF39)=SIGN($G39-$I39),1,0)+IF(AD39=$G39,IF(AF39=$I39,2,0),0))</f>
        <v/>
      </c>
    </row>
    <row r="40" spans="2:33" ht="15.75" thickBot="1" x14ac:dyDescent="0.3">
      <c r="B40" s="105" t="s">
        <v>130</v>
      </c>
      <c r="C40" s="106"/>
      <c r="D40" s="106"/>
      <c r="E40" s="106"/>
      <c r="F40" s="106"/>
      <c r="G40" s="106"/>
      <c r="H40" s="106"/>
      <c r="I40" s="107"/>
      <c r="J40" s="108">
        <f>SUM(M3:M39)</f>
        <v>0</v>
      </c>
      <c r="K40" s="109"/>
      <c r="L40" s="109"/>
      <c r="M40" s="110"/>
      <c r="N40" s="111">
        <f>SUM(Q3:Q39)</f>
        <v>0</v>
      </c>
      <c r="O40" s="112"/>
      <c r="P40" s="112"/>
      <c r="Q40" s="113"/>
      <c r="R40" s="117">
        <f>SUM(U3:U39)</f>
        <v>0</v>
      </c>
      <c r="S40" s="118"/>
      <c r="T40" s="118"/>
      <c r="U40" s="119"/>
      <c r="V40" s="120">
        <f>SUM(Y3:Y39)</f>
        <v>0</v>
      </c>
      <c r="W40" s="121"/>
      <c r="X40" s="121"/>
      <c r="Y40" s="122"/>
      <c r="Z40" s="114">
        <f>SUM(AC3:AC39)</f>
        <v>0</v>
      </c>
      <c r="AA40" s="115"/>
      <c r="AB40" s="115"/>
      <c r="AC40" s="116"/>
      <c r="AD40" s="99">
        <f>SUM(AG3:AG39)</f>
        <v>0</v>
      </c>
      <c r="AE40" s="100"/>
      <c r="AF40" s="100"/>
      <c r="AG40" s="101"/>
    </row>
    <row r="41" spans="2:33" x14ac:dyDescent="0.25">
      <c r="E41" s="47"/>
    </row>
    <row r="42" spans="2:33" x14ac:dyDescent="0.25">
      <c r="E42" s="47"/>
    </row>
    <row r="43" spans="2:33" x14ac:dyDescent="0.25">
      <c r="E43" s="47"/>
    </row>
    <row r="44" spans="2:33" x14ac:dyDescent="0.25">
      <c r="E44" s="47"/>
    </row>
    <row r="45" spans="2:33" x14ac:dyDescent="0.25">
      <c r="E45" s="47"/>
    </row>
    <row r="46" spans="2:33" x14ac:dyDescent="0.25">
      <c r="E46" s="47"/>
    </row>
    <row r="47" spans="2:33" x14ac:dyDescent="0.25">
      <c r="E47" s="47"/>
    </row>
    <row r="48" spans="2:33" x14ac:dyDescent="0.25">
      <c r="E48" s="47"/>
    </row>
    <row r="49" spans="5:5" x14ac:dyDescent="0.25">
      <c r="E49" s="47"/>
    </row>
    <row r="50" spans="5:5" x14ac:dyDescent="0.25">
      <c r="E50" s="47"/>
    </row>
    <row r="51" spans="5:5" x14ac:dyDescent="0.25">
      <c r="E51" s="47"/>
    </row>
    <row r="52" spans="5:5" x14ac:dyDescent="0.25">
      <c r="E52" s="47"/>
    </row>
    <row r="53" spans="5:5" x14ac:dyDescent="0.25">
      <c r="E53" s="47"/>
    </row>
    <row r="54" spans="5:5" x14ac:dyDescent="0.25">
      <c r="E54" s="47"/>
    </row>
    <row r="55" spans="5:5" x14ac:dyDescent="0.25">
      <c r="E55" s="47"/>
    </row>
    <row r="56" spans="5:5" x14ac:dyDescent="0.25">
      <c r="E56" s="47"/>
    </row>
    <row r="57" spans="5:5" x14ac:dyDescent="0.25">
      <c r="E57" s="47"/>
    </row>
    <row r="58" spans="5:5" x14ac:dyDescent="0.25">
      <c r="E58" s="47"/>
    </row>
  </sheetData>
  <mergeCells count="19">
    <mergeCell ref="R40:U40"/>
    <mergeCell ref="V2:Y2"/>
    <mergeCell ref="V40:Y40"/>
    <mergeCell ref="AD2:AG2"/>
    <mergeCell ref="AD40:AG40"/>
    <mergeCell ref="D2:F2"/>
    <mergeCell ref="J2:M2"/>
    <mergeCell ref="N2:Q2"/>
    <mergeCell ref="N40:Q40"/>
    <mergeCell ref="D19:F19"/>
    <mergeCell ref="D28:F28"/>
    <mergeCell ref="D33:F33"/>
    <mergeCell ref="D38:F38"/>
    <mergeCell ref="B40:I40"/>
    <mergeCell ref="J40:M40"/>
    <mergeCell ref="D36:F36"/>
    <mergeCell ref="Z2:AC2"/>
    <mergeCell ref="Z40:AC40"/>
    <mergeCell ref="R2:U2"/>
  </mergeCells>
  <conditionalFormatting sqref="M3:M18 Q3:Q18 U3:U18 Y3:Y18 AC3:AC18 AG3:AG18">
    <cfRule type="colorScale" priority="6">
      <colorScale>
        <cfvo type="num" val="0"/>
        <cfvo type="num" val="3"/>
        <color theme="0"/>
        <color theme="9"/>
      </colorScale>
    </cfRule>
  </conditionalFormatting>
  <conditionalFormatting sqref="M20:M27 Q20:Q27 U20:U27 Y20:Y27 AC20:AC27 AG20:AG27">
    <cfRule type="colorScale" priority="5">
      <colorScale>
        <cfvo type="num" val="0"/>
        <cfvo type="num" val="3"/>
        <color theme="0"/>
        <color theme="9"/>
      </colorScale>
    </cfRule>
  </conditionalFormatting>
  <conditionalFormatting sqref="M29:M32 Q29:Q32 U29:U32 Y29:Y32 AC29:AC32 AG29:AG32">
    <cfRule type="colorScale" priority="4">
      <colorScale>
        <cfvo type="num" val="0"/>
        <cfvo type="num" val="3"/>
        <color theme="0"/>
        <color theme="9"/>
      </colorScale>
    </cfRule>
  </conditionalFormatting>
  <conditionalFormatting sqref="M34:M35 Q34:Q35 U34:U35 Y34:Y35 AC34:AC35 AG34:AG35">
    <cfRule type="colorScale" priority="3">
      <colorScale>
        <cfvo type="num" val="0"/>
        <cfvo type="num" val="3"/>
        <color theme="0"/>
        <color theme="9"/>
      </colorScale>
    </cfRule>
  </conditionalFormatting>
  <conditionalFormatting sqref="M39 Q39 U39 Y39 AC39 AG39">
    <cfRule type="colorScale" priority="1">
      <colorScale>
        <cfvo type="num" val="0"/>
        <cfvo type="num" val="3"/>
        <color theme="0"/>
        <color theme="9"/>
      </colorScale>
    </cfRule>
  </conditionalFormatting>
  <conditionalFormatting sqref="Q37 M37 U37 Y37 AC37 AG37">
    <cfRule type="colorScale" priority="2">
      <colorScale>
        <cfvo type="num" val="0"/>
        <cfvo type="num" val="3"/>
        <color theme="0"/>
        <color theme="9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4864-1BC4-4CC2-A75F-01ADCFA0670D}">
  <dimension ref="B1:R44"/>
  <sheetViews>
    <sheetView tabSelected="1" topLeftCell="C1" zoomScaleNormal="100" workbookViewId="0">
      <selection activeCell="Q3" sqref="Q3"/>
    </sheetView>
  </sheetViews>
  <sheetFormatPr defaultColWidth="11.42578125" defaultRowHeight="15" x14ac:dyDescent="0.25"/>
  <cols>
    <col min="1" max="1" width="4" style="47" customWidth="1"/>
    <col min="2" max="2" width="3.5703125" style="47" customWidth="1"/>
    <col min="3" max="3" width="56.140625" style="47" bestFit="1" customWidth="1"/>
    <col min="4" max="4" width="3.140625" style="47" bestFit="1" customWidth="1"/>
    <col min="5" max="5" width="23.5703125" style="47" bestFit="1" customWidth="1"/>
    <col min="6" max="6" width="4" style="47" bestFit="1" customWidth="1"/>
    <col min="7" max="7" width="17.140625" style="47" customWidth="1"/>
    <col min="8" max="8" width="3.7109375" style="47" customWidth="1"/>
    <col min="9" max="9" width="17.140625" style="47" customWidth="1"/>
    <col min="10" max="10" width="3.7109375" style="47" customWidth="1"/>
    <col min="11" max="11" width="17.140625" style="47" customWidth="1"/>
    <col min="12" max="12" width="3.7109375" style="47" customWidth="1"/>
    <col min="13" max="13" width="17.140625" style="47" customWidth="1"/>
    <col min="14" max="14" width="3.7109375" style="47" customWidth="1"/>
    <col min="15" max="15" width="17.140625" style="47" customWidth="1"/>
    <col min="16" max="16" width="3.7109375" style="47" customWidth="1"/>
    <col min="17" max="17" width="17.140625" style="47" customWidth="1"/>
    <col min="18" max="18" width="3.7109375" style="47" customWidth="1"/>
    <col min="19" max="16384" width="11.42578125" style="47"/>
  </cols>
  <sheetData>
    <row r="1" spans="2:18" ht="15.75" thickBot="1" x14ac:dyDescent="0.3"/>
    <row r="2" spans="2:18" ht="15.75" thickBot="1" x14ac:dyDescent="0.3">
      <c r="B2" s="102" t="s">
        <v>79</v>
      </c>
      <c r="C2" s="103"/>
      <c r="D2" s="104"/>
      <c r="E2" s="102" t="s">
        <v>129</v>
      </c>
      <c r="F2" s="104"/>
      <c r="G2" s="108" t="s">
        <v>6</v>
      </c>
      <c r="H2" s="110"/>
      <c r="I2" s="127" t="s">
        <v>139</v>
      </c>
      <c r="J2" s="128"/>
      <c r="K2" s="117" t="s">
        <v>137</v>
      </c>
      <c r="L2" s="119"/>
      <c r="M2" s="120" t="s">
        <v>140</v>
      </c>
      <c r="N2" s="122"/>
      <c r="O2" s="114" t="s">
        <v>138</v>
      </c>
      <c r="P2" s="116"/>
      <c r="Q2" s="99" t="s">
        <v>167</v>
      </c>
      <c r="R2" s="101"/>
    </row>
    <row r="3" spans="2:18" x14ac:dyDescent="0.25">
      <c r="B3" s="37" t="s">
        <v>85</v>
      </c>
      <c r="C3" s="20" t="s">
        <v>101</v>
      </c>
      <c r="D3" s="14" t="s">
        <v>80</v>
      </c>
      <c r="E3" s="93"/>
      <c r="F3" s="94"/>
      <c r="G3" s="17" t="s">
        <v>44</v>
      </c>
      <c r="H3" s="9" t="str">
        <f>IF(ISBLANK($E3)=TRUE,"",IF($E3=G3,5,0))</f>
        <v/>
      </c>
      <c r="I3" s="17" t="s">
        <v>39</v>
      </c>
      <c r="J3" s="9" t="str">
        <f>IF(ISBLANK($E3)=TRUE,"",IF($E3=I3,5,0))</f>
        <v/>
      </c>
      <c r="K3" s="17" t="s">
        <v>44</v>
      </c>
      <c r="L3" s="9" t="str">
        <f>IF(ISBLANK($E3)=TRUE,"",IF($E3=K3,5,0))</f>
        <v/>
      </c>
      <c r="M3" s="17"/>
      <c r="N3" s="9" t="str">
        <f>IF(ISBLANK($E3)=TRUE,"",IF($E3=M3,5,0))</f>
        <v/>
      </c>
      <c r="O3" s="17" t="s">
        <v>44</v>
      </c>
      <c r="P3" s="9" t="str">
        <f>IF(ISBLANK($E3)=TRUE,"",IF($E3=O3,5,0))</f>
        <v/>
      </c>
      <c r="Q3" s="17" t="s">
        <v>59</v>
      </c>
      <c r="R3" s="9" t="str">
        <f>IF(ISBLANK($E3)=TRUE,"",IF($E3=Q3,5,0))</f>
        <v/>
      </c>
    </row>
    <row r="4" spans="2:18" x14ac:dyDescent="0.25">
      <c r="B4" s="38" t="s">
        <v>86</v>
      </c>
      <c r="C4" s="21" t="s">
        <v>103</v>
      </c>
      <c r="D4" s="15" t="s">
        <v>80</v>
      </c>
      <c r="E4" s="95"/>
      <c r="F4" s="96"/>
      <c r="G4" s="18" t="s">
        <v>116</v>
      </c>
      <c r="H4" s="9" t="str">
        <f>IF(ISBLANK($E4)=TRUE,"",IF($E4=G4,5,0))</f>
        <v/>
      </c>
      <c r="I4" s="18" t="s">
        <v>117</v>
      </c>
      <c r="J4" s="9" t="str">
        <f>IF(ISBLANK($E4)=TRUE,"",IF($E4=I4,5,0))</f>
        <v/>
      </c>
      <c r="K4" s="18" t="s">
        <v>116</v>
      </c>
      <c r="L4" s="9" t="str">
        <f>IF(ISBLANK($E4)=TRUE,"",IF($E4=K4,5,0))</f>
        <v/>
      </c>
      <c r="M4" s="18"/>
      <c r="N4" s="9" t="str">
        <f>IF(ISBLANK($E4)=TRUE,"",IF($E4=M4,5,0))</f>
        <v/>
      </c>
      <c r="O4" s="18" t="s">
        <v>155</v>
      </c>
      <c r="P4" s="9" t="str">
        <f>IF(ISBLANK($E4)=TRUE,"",IF($E4=O4,5,0))</f>
        <v/>
      </c>
      <c r="Q4" s="18" t="s">
        <v>168</v>
      </c>
      <c r="R4" s="9" t="str">
        <f>IF(ISBLANK($E4)=TRUE,"",IF($E4=Q4,5,0))</f>
        <v/>
      </c>
    </row>
    <row r="5" spans="2:18" x14ac:dyDescent="0.25">
      <c r="B5" s="38" t="s">
        <v>87</v>
      </c>
      <c r="C5" s="21" t="s">
        <v>102</v>
      </c>
      <c r="D5" s="15" t="s">
        <v>80</v>
      </c>
      <c r="E5" s="95"/>
      <c r="F5" s="96"/>
      <c r="G5" s="18" t="s">
        <v>116</v>
      </c>
      <c r="H5" s="9" t="str">
        <f>IF(ISBLANK($E5)=TRUE,"",IF($E5=G5,5,0))</f>
        <v/>
      </c>
      <c r="I5" s="18" t="s">
        <v>116</v>
      </c>
      <c r="J5" s="9" t="str">
        <f>IF(ISBLANK($E5)=TRUE,"",IF($E5=I5,5,0))</f>
        <v/>
      </c>
      <c r="K5" s="18" t="s">
        <v>150</v>
      </c>
      <c r="L5" s="9" t="str">
        <f>IF(ISBLANK($E5)=TRUE,"",IF($E5=K5,5,0))</f>
        <v/>
      </c>
      <c r="M5" s="18"/>
      <c r="N5" s="9" t="str">
        <f>IF(ISBLANK($E5)=TRUE,"",IF($E5=M5,5,0))</f>
        <v/>
      </c>
      <c r="O5" s="18" t="s">
        <v>156</v>
      </c>
      <c r="P5" s="9" t="str">
        <f>IF(ISBLANK($E5)=TRUE,"",IF($E5=O5,5,0))</f>
        <v/>
      </c>
      <c r="Q5" s="18" t="s">
        <v>168</v>
      </c>
      <c r="R5" s="9" t="str">
        <f>IF(ISBLANK($E5)=TRUE,"",IF($E5=Q5,5,0))</f>
        <v/>
      </c>
    </row>
    <row r="6" spans="2:18" x14ac:dyDescent="0.25">
      <c r="B6" s="38" t="s">
        <v>88</v>
      </c>
      <c r="C6" s="21" t="s">
        <v>104</v>
      </c>
      <c r="D6" s="15" t="s">
        <v>81</v>
      </c>
      <c r="E6" s="95"/>
      <c r="F6" s="96"/>
      <c r="G6" s="18" t="s">
        <v>117</v>
      </c>
      <c r="H6" s="9" t="str">
        <f>IF(ISBLANK($E6)=TRUE,"",IF($E6=G6,3,0))</f>
        <v/>
      </c>
      <c r="I6" s="18" t="s">
        <v>117</v>
      </c>
      <c r="J6" s="9" t="str">
        <f>IF(ISBLANK($E6)=TRUE,"",IF($E6=I6,3,0))</f>
        <v/>
      </c>
      <c r="K6" s="18" t="s">
        <v>117</v>
      </c>
      <c r="L6" s="9" t="str">
        <f>IF(ISBLANK($E6)=TRUE,"",IF($E6=K6,3,0))</f>
        <v/>
      </c>
      <c r="M6" s="18"/>
      <c r="N6" s="9" t="str">
        <f>IF(ISBLANK($E6)=TRUE,"",IF($E6=M6,3,0))</f>
        <v/>
      </c>
      <c r="O6" s="18" t="s">
        <v>117</v>
      </c>
      <c r="P6" s="9" t="str">
        <f>IF(ISBLANK($E6)=TRUE,"",IF($E6=O6,3,0))</f>
        <v/>
      </c>
      <c r="Q6" s="18" t="s">
        <v>169</v>
      </c>
      <c r="R6" s="9" t="str">
        <f>IF(ISBLANK($E6)=TRUE,"",IF($E6=Q6,3,0))</f>
        <v/>
      </c>
    </row>
    <row r="7" spans="2:18" ht="15.75" thickBot="1" x14ac:dyDescent="0.3">
      <c r="B7" s="38" t="s">
        <v>89</v>
      </c>
      <c r="C7" s="21" t="s">
        <v>105</v>
      </c>
      <c r="D7" s="15" t="s">
        <v>82</v>
      </c>
      <c r="E7" s="95"/>
      <c r="F7" s="96"/>
      <c r="G7" s="40">
        <v>241</v>
      </c>
      <c r="H7" s="9" t="str">
        <f>IF(ISBLANK($E7)=TRUE,"",IF($E7=G7,2,0))</f>
        <v/>
      </c>
      <c r="I7" s="40">
        <v>168</v>
      </c>
      <c r="J7" s="9" t="str">
        <f>IF(ISBLANK($E7)=TRUE,"",IF($E7=I7,2,0))</f>
        <v/>
      </c>
      <c r="K7" s="40">
        <v>335</v>
      </c>
      <c r="L7" s="9" t="str">
        <f>IF(ISBLANK($E7)=TRUE,"",IF($E7=K7,2,0))</f>
        <v/>
      </c>
      <c r="M7" s="40"/>
      <c r="N7" s="9" t="str">
        <f>IF(ISBLANK($E7)=TRUE,"",IF($E7=M7,2,0))</f>
        <v/>
      </c>
      <c r="O7" s="40">
        <v>299</v>
      </c>
      <c r="P7" s="9" t="str">
        <f>IF(ISBLANK($E7)=TRUE,"",IF($E7=O7,2,0))</f>
        <v/>
      </c>
      <c r="Q7" s="40">
        <v>333</v>
      </c>
      <c r="R7" s="9" t="str">
        <f>IF(ISBLANK($E7)=TRUE,"",IF($E7=Q7,2,0))</f>
        <v/>
      </c>
    </row>
    <row r="8" spans="2:18" x14ac:dyDescent="0.25">
      <c r="B8" s="38"/>
      <c r="C8" s="21"/>
      <c r="D8" s="15"/>
      <c r="E8" s="77" t="s">
        <v>164</v>
      </c>
      <c r="F8" s="66">
        <f>SUM(Gruppespill!G3:G85,Gruppespill!I3:I85,Utslagsrunder!G3:G39,Utslagsrunder!I3:I39)</f>
        <v>0</v>
      </c>
      <c r="G8" s="40"/>
      <c r="H8" s="9"/>
      <c r="I8" s="40"/>
      <c r="J8" s="9"/>
      <c r="K8" s="40"/>
      <c r="L8" s="9"/>
      <c r="M8" s="40"/>
      <c r="N8" s="9"/>
      <c r="O8" s="40"/>
      <c r="P8" s="9"/>
      <c r="Q8" s="40"/>
      <c r="R8" s="9"/>
    </row>
    <row r="9" spans="2:18" ht="15.75" thickBot="1" x14ac:dyDescent="0.3">
      <c r="B9" s="38"/>
      <c r="C9" s="21"/>
      <c r="D9" s="15"/>
      <c r="E9" s="78" t="s">
        <v>165</v>
      </c>
      <c r="F9" s="69" t="str">
        <f>IF(ISBLANK(Gruppespill!G3),"",(F8/(COUNT(Gruppespill!G3:G85,Utslagsrunder!G3:G39)))*104)</f>
        <v/>
      </c>
      <c r="G9" s="40"/>
      <c r="H9" s="9"/>
      <c r="I9" s="40"/>
      <c r="J9" s="9"/>
      <c r="K9" s="40"/>
      <c r="L9" s="9"/>
      <c r="M9" s="40"/>
      <c r="N9" s="9"/>
      <c r="O9" s="40"/>
      <c r="P9" s="9"/>
      <c r="Q9" s="40"/>
      <c r="R9" s="9"/>
    </row>
    <row r="10" spans="2:18" x14ac:dyDescent="0.25">
      <c r="B10" s="38" t="s">
        <v>90</v>
      </c>
      <c r="C10" s="21" t="s">
        <v>106</v>
      </c>
      <c r="D10" s="15" t="s">
        <v>82</v>
      </c>
      <c r="E10" s="126"/>
      <c r="F10" s="96"/>
      <c r="G10" s="23">
        <v>4.0509259259259258E-4</v>
      </c>
      <c r="H10" s="9" t="str">
        <f>IF(ISBLANK($E10),"",IF(ABS($E10-G10)&lt;TIME(0,0,16),2,0))</f>
        <v/>
      </c>
      <c r="I10" s="23">
        <v>6.018518518518519E-4</v>
      </c>
      <c r="J10" s="9" t="str">
        <f>IF(ISBLANK($E10),"",IF(ABS($E10-I10)&lt;TIME(0,0,16),2,0))</f>
        <v/>
      </c>
      <c r="K10" s="23">
        <v>2.3842592592592591E-3</v>
      </c>
      <c r="L10" s="9" t="str">
        <f>IF(ISBLANK($E10),"",IF(ABS($E10-K10)&lt;TIME(0,0,16),2,0))</f>
        <v/>
      </c>
      <c r="M10" s="23"/>
      <c r="N10" s="9" t="str">
        <f>IF(ISBLANK($E10),"",IF(ABS($E10-M10)&lt;TIME(0,0,16),2,0))</f>
        <v/>
      </c>
      <c r="O10" s="23">
        <v>1.736111111111111E-3</v>
      </c>
      <c r="P10" s="9" t="str">
        <f>IF(ISBLANK($E10),"",IF(ABS($E10-O10)&lt;TIME(0,0,16),2,0))</f>
        <v/>
      </c>
      <c r="Q10" s="23">
        <v>4.1666666666666666E-3</v>
      </c>
      <c r="R10" s="9" t="str">
        <f>IF(ISBLANK($E10),"",IF(ABS($E10-Q10)&lt;TIME(0,0,16),2,0))</f>
        <v/>
      </c>
    </row>
    <row r="11" spans="2:18" x14ac:dyDescent="0.25">
      <c r="B11" s="38" t="s">
        <v>91</v>
      </c>
      <c r="C11" s="21" t="s">
        <v>107</v>
      </c>
      <c r="D11" s="15" t="s">
        <v>82</v>
      </c>
      <c r="E11" s="95"/>
      <c r="F11" s="96"/>
      <c r="G11" s="18" t="s">
        <v>31</v>
      </c>
      <c r="H11" s="9" t="str">
        <f>IF(ISBLANK($E11)=TRUE,"",IF(ISNUMBER(SEARCH(G11,$E11)),2,0))</f>
        <v/>
      </c>
      <c r="I11" s="18" t="s">
        <v>20</v>
      </c>
      <c r="J11" s="9" t="str">
        <f>IF(ISBLANK($E11)=TRUE,"",IF(ISNUMBER(SEARCH(I11,$E11)),2,0))</f>
        <v/>
      </c>
      <c r="K11" s="18" t="s">
        <v>46</v>
      </c>
      <c r="L11" s="9" t="str">
        <f>IF(ISBLANK($E11)=TRUE,"",IF(ISNUMBER(SEARCH(K11,$E11)),2,0))</f>
        <v/>
      </c>
      <c r="M11" s="18"/>
      <c r="N11" s="9" t="str">
        <f>IF(ISBLANK($E11)=TRUE,"",IF(ISNUMBER(SEARCH(M11,$E11)),2,0))</f>
        <v/>
      </c>
      <c r="O11" s="18" t="s">
        <v>26</v>
      </c>
      <c r="P11" s="9" t="str">
        <f>IF(ISBLANK($E11)=TRUE,"",IF(ISNUMBER(SEARCH(O11,$E11)),2,0))</f>
        <v/>
      </c>
      <c r="Q11" s="18" t="s">
        <v>21</v>
      </c>
      <c r="R11" s="9" t="str">
        <f>IF(ISBLANK($E11)=TRUE,"",IF(ISNUMBER(SEARCH(Q11,$E11)),2,0))</f>
        <v/>
      </c>
    </row>
    <row r="12" spans="2:18" x14ac:dyDescent="0.25">
      <c r="B12" s="38"/>
      <c r="C12" s="21"/>
      <c r="D12" s="15"/>
      <c r="E12" s="95"/>
      <c r="F12" s="96"/>
      <c r="G12" s="18" t="s">
        <v>54</v>
      </c>
      <c r="H12" s="9" t="str">
        <f>IF(ISBLANK($E11)=TRUE,"",IF(ISNUMBER(SEARCH(G12,$E11)),2,0))</f>
        <v/>
      </c>
      <c r="I12" s="18" t="s">
        <v>49</v>
      </c>
      <c r="J12" s="9" t="str">
        <f>IF(ISBLANK($E11)=TRUE,"",IF(ISNUMBER(SEARCH(I12,$E11)),2,0))</f>
        <v/>
      </c>
      <c r="K12" s="18" t="s">
        <v>37</v>
      </c>
      <c r="L12" s="9" t="str">
        <f>IF(ISBLANK($E11)=TRUE,"",IF(ISNUMBER(SEARCH(K12,$E11)),2,0))</f>
        <v/>
      </c>
      <c r="M12" s="18"/>
      <c r="N12" s="9" t="str">
        <f>IF(ISBLANK($E11)=TRUE,"",IF(ISNUMBER(SEARCH(M12,$E11)),2,0))</f>
        <v/>
      </c>
      <c r="O12" s="18" t="s">
        <v>30</v>
      </c>
      <c r="P12" s="9" t="str">
        <f>IF(ISBLANK($E11)=TRUE,"",IF(ISNUMBER(SEARCH(O12,$E11)),2,0))</f>
        <v/>
      </c>
      <c r="Q12" s="18" t="s">
        <v>29</v>
      </c>
      <c r="R12" s="9" t="str">
        <f>IF(ISBLANK($E11)=TRUE,"",IF(ISNUMBER(SEARCH(Q12,$E11)),2,0))</f>
        <v/>
      </c>
    </row>
    <row r="13" spans="2:18" x14ac:dyDescent="0.25">
      <c r="B13" s="38" t="s">
        <v>92</v>
      </c>
      <c r="C13" s="21" t="s">
        <v>141</v>
      </c>
      <c r="D13" s="15" t="s">
        <v>82</v>
      </c>
      <c r="E13" s="95"/>
      <c r="F13" s="96"/>
      <c r="G13" s="18" t="s">
        <v>142</v>
      </c>
      <c r="H13" s="9" t="str">
        <f>IF(ISBLANK($E13)=TRUE,"",IF(ISNUMBER(SEARCH(G13,$E13)),2,0))</f>
        <v/>
      </c>
      <c r="I13" s="18" t="s">
        <v>19</v>
      </c>
      <c r="J13" s="9" t="str">
        <f>IF(ISBLANK($E13)=TRUE,"",IF(ISNUMBER(SEARCH(I13,$E13)),2,0))</f>
        <v/>
      </c>
      <c r="K13" s="18" t="s">
        <v>47</v>
      </c>
      <c r="L13" s="9" t="str">
        <f>IF(ISBLANK($E13)=TRUE,"",IF(ISNUMBER(SEARCH(K13,$E13)),2,0))</f>
        <v/>
      </c>
      <c r="M13" s="18"/>
      <c r="N13" s="9" t="str">
        <f>IF(ISBLANK($E13)=TRUE,"",IF(ISNUMBER(SEARCH(M13,$E13)),2,0))</f>
        <v/>
      </c>
      <c r="O13" s="18" t="s">
        <v>3</v>
      </c>
      <c r="P13" s="9" t="str">
        <f>IF(ISBLANK($E13)=TRUE,"",IF(ISNUMBER(SEARCH(O13,$E13)),2,0))</f>
        <v/>
      </c>
      <c r="Q13" s="18" t="s">
        <v>33</v>
      </c>
      <c r="R13" s="9" t="str">
        <f>IF(ISBLANK($E13)=TRUE,"",IF(ISNUMBER(SEARCH(Q13,$E13)),2,0))</f>
        <v/>
      </c>
    </row>
    <row r="14" spans="2:18" x14ac:dyDescent="0.25">
      <c r="B14" s="38"/>
      <c r="C14" s="21"/>
      <c r="D14" s="15"/>
      <c r="E14" s="95"/>
      <c r="F14" s="96"/>
      <c r="G14" s="18" t="s">
        <v>40</v>
      </c>
      <c r="H14" s="9" t="str">
        <f>IF(ISBLANK($E13)=TRUE,"",IF(ISNUMBER(SEARCH(G14,$E13)),2,0))</f>
        <v/>
      </c>
      <c r="I14" s="18" t="s">
        <v>59</v>
      </c>
      <c r="J14" s="9" t="str">
        <f>IF(ISBLANK($E13)=TRUE,"",IF(ISNUMBER(SEARCH(I14,$E13)),2,0))</f>
        <v/>
      </c>
      <c r="K14" s="18" t="s">
        <v>23</v>
      </c>
      <c r="L14" s="9" t="str">
        <f>IF(ISBLANK($E13)=TRUE,"",IF(ISNUMBER(SEARCH(K14,$E13)),2,0))</f>
        <v/>
      </c>
      <c r="M14" s="18"/>
      <c r="N14" s="9" t="str">
        <f>IF(ISBLANK($E13)=TRUE,"",IF(ISNUMBER(SEARCH(M14,$E13)),2,0))</f>
        <v/>
      </c>
      <c r="O14" s="18" t="s">
        <v>22</v>
      </c>
      <c r="P14" s="9" t="str">
        <f>IF(ISBLANK($E13)=TRUE,"",IF(ISNUMBER(SEARCH(O14,$E13)),2,0))</f>
        <v/>
      </c>
      <c r="Q14" s="18" t="s">
        <v>22</v>
      </c>
      <c r="R14" s="9" t="str">
        <f>IF(ISBLANK($E13)=TRUE,"",IF(ISNUMBER(SEARCH(Q14,$E13)),2,0))</f>
        <v/>
      </c>
    </row>
    <row r="15" spans="2:18" x14ac:dyDescent="0.25">
      <c r="B15" s="38" t="s">
        <v>93</v>
      </c>
      <c r="C15" s="21" t="s">
        <v>108</v>
      </c>
      <c r="D15" s="15" t="s">
        <v>82</v>
      </c>
      <c r="E15" s="95"/>
      <c r="F15" s="96"/>
      <c r="G15" s="18" t="s">
        <v>151</v>
      </c>
      <c r="H15" s="9" t="str">
        <f>IF(ISBLANK($E15)=TRUE,"",IF($E15=G15,2,0))</f>
        <v/>
      </c>
      <c r="I15" s="18" t="s">
        <v>151</v>
      </c>
      <c r="J15" s="9" t="str">
        <f>IF(ISBLANK($E15)=TRUE,"",IF($E15=I15,2,0))</f>
        <v/>
      </c>
      <c r="K15" s="18" t="s">
        <v>151</v>
      </c>
      <c r="L15" s="9" t="str">
        <f>IF(ISBLANK($E15)=TRUE,"",IF($E15=K15,2,0))</f>
        <v/>
      </c>
      <c r="M15" s="18"/>
      <c r="N15" s="9" t="str">
        <f>IF(ISBLANK($E15)=TRUE,"",IF($E15=M15,2,0))</f>
        <v/>
      </c>
      <c r="O15" s="18" t="s">
        <v>151</v>
      </c>
      <c r="P15" s="9" t="str">
        <f>IF(ISBLANK($E15)=TRUE,"",IF($E15=O15,2,0))</f>
        <v/>
      </c>
      <c r="Q15" s="18" t="s">
        <v>11</v>
      </c>
      <c r="R15" s="9" t="str">
        <f>IF(ISBLANK($E15)=TRUE,"",IF($E15=Q15,2,0))</f>
        <v/>
      </c>
    </row>
    <row r="16" spans="2:18" x14ac:dyDescent="0.25">
      <c r="B16" s="38" t="s">
        <v>94</v>
      </c>
      <c r="C16" s="21" t="s">
        <v>109</v>
      </c>
      <c r="D16" s="15" t="s">
        <v>82</v>
      </c>
      <c r="E16" s="95"/>
      <c r="F16" s="96"/>
      <c r="G16" s="18" t="s">
        <v>142</v>
      </c>
      <c r="H16" s="9" t="str">
        <f>IF(ISBLANK($E16)=TRUE,"",IF($E16=G16,2,0))</f>
        <v/>
      </c>
      <c r="I16" s="18" t="s">
        <v>40</v>
      </c>
      <c r="J16" s="9" t="str">
        <f>IF(ISBLANK($E16)=TRUE,"",IF($E16=I16,2,0))</f>
        <v/>
      </c>
      <c r="K16" s="18" t="s">
        <v>142</v>
      </c>
      <c r="L16" s="9" t="str">
        <f>IF(ISBLANK($E16)=TRUE,"",IF($E16=K16,2,0))</f>
        <v/>
      </c>
      <c r="M16" s="18"/>
      <c r="N16" s="9" t="str">
        <f>IF(ISBLANK($E16)=TRUE,"",IF($E16=M16,2,0))</f>
        <v/>
      </c>
      <c r="O16" s="18" t="s">
        <v>21</v>
      </c>
      <c r="P16" s="9" t="str">
        <f>IF(ISBLANK($E16)=TRUE,"",IF($E16=O16,2,0))</f>
        <v/>
      </c>
      <c r="Q16" s="18" t="s">
        <v>142</v>
      </c>
      <c r="R16" s="9" t="str">
        <f>IF(ISBLANK($E16)=TRUE,"",IF($E16=Q16,2,0))</f>
        <v/>
      </c>
    </row>
    <row r="17" spans="2:18" x14ac:dyDescent="0.25">
      <c r="B17" s="38" t="s">
        <v>95</v>
      </c>
      <c r="C17" s="21" t="s">
        <v>110</v>
      </c>
      <c r="D17" s="15" t="s">
        <v>83</v>
      </c>
      <c r="E17" s="95"/>
      <c r="F17" s="96"/>
      <c r="G17" s="18" t="s">
        <v>143</v>
      </c>
      <c r="H17" s="9" t="str">
        <f>IF(ISBLANK($E17)=TRUE,"",IF($E17=G17,4,0))</f>
        <v/>
      </c>
      <c r="I17" s="18" t="s">
        <v>148</v>
      </c>
      <c r="J17" s="9" t="str">
        <f>IF(ISBLANK($E17)=TRUE,"",IF($E17=I17,4,0))</f>
        <v/>
      </c>
      <c r="K17" s="18" t="s">
        <v>148</v>
      </c>
      <c r="L17" s="9" t="str">
        <f>IF(ISBLANK($E17)=TRUE,"",IF($E17=K17,4,0))</f>
        <v/>
      </c>
      <c r="M17" s="18"/>
      <c r="N17" s="9" t="str">
        <f>IF(ISBLANK($E17)=TRUE,"",IF($E17=M17,4,0))</f>
        <v/>
      </c>
      <c r="O17" s="18" t="s">
        <v>157</v>
      </c>
      <c r="P17" s="9" t="str">
        <f>IF(ISBLANK($E17)=TRUE,"",IF($E17=O17,4,0))</f>
        <v/>
      </c>
      <c r="Q17" s="18" t="s">
        <v>170</v>
      </c>
      <c r="R17" s="9" t="str">
        <f>IF(ISBLANK($E17)=TRUE,"",IF($E17=Q17,4,0))</f>
        <v/>
      </c>
    </row>
    <row r="18" spans="2:18" x14ac:dyDescent="0.25">
      <c r="B18" s="38" t="s">
        <v>96</v>
      </c>
      <c r="C18" s="21" t="s">
        <v>111</v>
      </c>
      <c r="D18" s="15" t="s">
        <v>82</v>
      </c>
      <c r="E18" s="95"/>
      <c r="F18" s="96"/>
      <c r="G18" s="18" t="s">
        <v>32</v>
      </c>
      <c r="H18" s="9" t="str">
        <f>IF(ISBLANK($E18)=TRUE,"",IF($E18=G18,2,0))</f>
        <v/>
      </c>
      <c r="I18" s="18" t="s">
        <v>25</v>
      </c>
      <c r="J18" s="9" t="str">
        <f>IF(ISBLANK($E18)=TRUE,"",IF($E18=I18,2,0))</f>
        <v/>
      </c>
      <c r="K18" s="18" t="s">
        <v>32</v>
      </c>
      <c r="L18" s="9" t="str">
        <f>IF(ISBLANK($E18)=TRUE,"",IF($E18=K18,2,0))</f>
        <v/>
      </c>
      <c r="M18" s="18"/>
      <c r="N18" s="9" t="str">
        <f>IF(ISBLANK($E18)=TRUE,"",IF($E18=M18,2,0))</f>
        <v/>
      </c>
      <c r="O18" s="18" t="s">
        <v>32</v>
      </c>
      <c r="P18" s="9" t="str">
        <f>IF(ISBLANK($E18)=TRUE,"",IF($E18=O18,2,0))</f>
        <v/>
      </c>
      <c r="Q18" s="18" t="s">
        <v>32</v>
      </c>
      <c r="R18" s="9" t="str">
        <f>IF(ISBLANK($E18)=TRUE,"",IF($E18=Q18,2,0))</f>
        <v/>
      </c>
    </row>
    <row r="19" spans="2:18" x14ac:dyDescent="0.25">
      <c r="B19" s="38" t="s">
        <v>97</v>
      </c>
      <c r="C19" s="21" t="s">
        <v>112</v>
      </c>
      <c r="D19" s="15" t="s">
        <v>84</v>
      </c>
      <c r="E19" s="95"/>
      <c r="F19" s="96"/>
      <c r="G19" s="18" t="s">
        <v>144</v>
      </c>
      <c r="H19" s="9" t="str">
        <f>IF(ISBLANK($E19)=TRUE,"",IF($E19=G19,1,0))</f>
        <v/>
      </c>
      <c r="I19" s="18" t="s">
        <v>144</v>
      </c>
      <c r="J19" s="9" t="str">
        <f>IF(ISBLANK($E19)=TRUE,"",IF($E19=I19,1,0))</f>
        <v/>
      </c>
      <c r="K19" s="18" t="s">
        <v>144</v>
      </c>
      <c r="L19" s="9" t="str">
        <f>IF(ISBLANK($E19)=TRUE,"",IF($E19=K19,1,0))</f>
        <v/>
      </c>
      <c r="M19" s="18"/>
      <c r="N19" s="9" t="str">
        <f>IF(ISBLANK($E19)=TRUE,"",IF($E19=M19,1,0))</f>
        <v/>
      </c>
      <c r="O19" s="18" t="s">
        <v>144</v>
      </c>
      <c r="P19" s="9" t="str">
        <f>IF(ISBLANK($E19)=TRUE,"",IF($E19=O19,1,0))</f>
        <v/>
      </c>
      <c r="Q19" s="18" t="s">
        <v>144</v>
      </c>
      <c r="R19" s="9" t="str">
        <f>IF(ISBLANK($E19)=TRUE,"",IF($E19=Q19,1,0))</f>
        <v/>
      </c>
    </row>
    <row r="20" spans="2:18" x14ac:dyDescent="0.25">
      <c r="B20" s="38" t="s">
        <v>98</v>
      </c>
      <c r="C20" s="21" t="s">
        <v>113</v>
      </c>
      <c r="D20" s="15" t="s">
        <v>82</v>
      </c>
      <c r="E20" s="95"/>
      <c r="F20" s="96"/>
      <c r="G20" s="18" t="s">
        <v>20</v>
      </c>
      <c r="H20" s="9" t="str">
        <f>IF(ISBLANK($E20)=TRUE,"",IF($E20=G20,2,0))</f>
        <v/>
      </c>
      <c r="I20" s="18" t="s">
        <v>20</v>
      </c>
      <c r="J20" s="9" t="str">
        <f>IF(ISBLANK($E20)=TRUE,"",IF($E20=I20,2,0))</f>
        <v/>
      </c>
      <c r="K20" s="18" t="s">
        <v>20</v>
      </c>
      <c r="L20" s="9" t="str">
        <f>IF(ISBLANK($E20)=TRUE,"",IF($E20=K20,2,0))</f>
        <v/>
      </c>
      <c r="M20" s="18"/>
      <c r="N20" s="9" t="str">
        <f>IF(ISBLANK($E20)=TRUE,"",IF($E20=M20,2,0))</f>
        <v/>
      </c>
      <c r="O20" s="18" t="s">
        <v>20</v>
      </c>
      <c r="P20" s="9" t="str">
        <f>IF(ISBLANK($E20)=TRUE,"",IF($E20=O20,2,0))</f>
        <v/>
      </c>
      <c r="Q20" s="18" t="s">
        <v>20</v>
      </c>
      <c r="R20" s="9" t="str">
        <f>IF(ISBLANK($E20)=TRUE,"",IF($E20=Q20,2,0))</f>
        <v/>
      </c>
    </row>
    <row r="21" spans="2:18" x14ac:dyDescent="0.25">
      <c r="B21" s="38" t="s">
        <v>99</v>
      </c>
      <c r="C21" s="21" t="s">
        <v>114</v>
      </c>
      <c r="D21" s="15" t="s">
        <v>81</v>
      </c>
      <c r="E21" s="95"/>
      <c r="F21" s="96"/>
      <c r="G21" s="18" t="s">
        <v>145</v>
      </c>
      <c r="H21" s="9" t="str">
        <f>IF(ISBLANK($E21)=TRUE,"",IF(ISNUMBER(SEARCH(G21,$E21)),3,0))</f>
        <v/>
      </c>
      <c r="I21" s="18" t="s">
        <v>149</v>
      </c>
      <c r="J21" s="9" t="str">
        <f>IF(ISBLANK($E21)=TRUE,"",IF(ISNUMBER(SEARCH(I21,$E21)),3,0))</f>
        <v/>
      </c>
      <c r="K21" s="18" t="s">
        <v>152</v>
      </c>
      <c r="L21" s="9" t="str">
        <f>IF(ISBLANK($E21)=TRUE,"",IF(ISNUMBER(SEARCH(K21,$E21)),3,0))</f>
        <v/>
      </c>
      <c r="M21" s="18"/>
      <c r="N21" s="9" t="str">
        <f>IF(ISBLANK($E21)=TRUE,"",IF(ISNUMBER(SEARCH(M21,$E21)),3,0))</f>
        <v/>
      </c>
      <c r="O21" s="18" t="s">
        <v>158</v>
      </c>
      <c r="P21" s="9" t="str">
        <f>IF(ISBLANK($E21)=TRUE,"",IF(ISNUMBER(SEARCH(O21,$E21)),3,0))</f>
        <v/>
      </c>
      <c r="Q21" s="18" t="s">
        <v>171</v>
      </c>
      <c r="R21" s="9" t="str">
        <f>IF(ISBLANK($E21)=TRUE,"",IF(ISNUMBER(SEARCH(Q21,$E21)),3,0))</f>
        <v/>
      </c>
    </row>
    <row r="22" spans="2:18" x14ac:dyDescent="0.25">
      <c r="B22" s="38" t="s">
        <v>100</v>
      </c>
      <c r="C22" s="21" t="s">
        <v>115</v>
      </c>
      <c r="D22" s="15" t="s">
        <v>84</v>
      </c>
      <c r="E22" s="95"/>
      <c r="F22" s="96"/>
      <c r="G22" s="18" t="s">
        <v>146</v>
      </c>
      <c r="H22" s="9" t="str">
        <f>IF(ISBLANK($E22)=TRUE,"",IF(ISNUMBER(SEARCH(G22,$E22)),1,0))</f>
        <v/>
      </c>
      <c r="I22" s="18" t="s">
        <v>146</v>
      </c>
      <c r="J22" s="9" t="str">
        <f>IF(ISBLANK($E22)=TRUE,"",IF(ISNUMBER(SEARCH(I22,$E22)),1,0))</f>
        <v/>
      </c>
      <c r="K22" s="18" t="s">
        <v>153</v>
      </c>
      <c r="L22" s="9" t="str">
        <f>IF(ISBLANK($E22)=TRUE,"",IF(ISNUMBER(SEARCH(K22,$E22)),1,0))</f>
        <v/>
      </c>
      <c r="M22" s="18"/>
      <c r="N22" s="9" t="str">
        <f>IF(ISBLANK($E22)=TRUE,"",IF(ISNUMBER(SEARCH(M22,$E22)),1,0))</f>
        <v/>
      </c>
      <c r="O22" s="18" t="s">
        <v>153</v>
      </c>
      <c r="P22" s="9" t="str">
        <f>IF(ISBLANK($E22)=TRUE,"",IF(ISNUMBER(SEARCH(O22,$E22)),1,0))</f>
        <v/>
      </c>
      <c r="Q22" s="18" t="s">
        <v>153</v>
      </c>
      <c r="R22" s="9" t="str">
        <f>IF(ISBLANK($E22)=TRUE,"",IF(ISNUMBER(SEARCH(Q22,$E22)),1,0))</f>
        <v/>
      </c>
    </row>
    <row r="23" spans="2:18" ht="15.75" thickBot="1" x14ac:dyDescent="0.3">
      <c r="B23" s="39" t="s">
        <v>160</v>
      </c>
      <c r="C23" s="22" t="s">
        <v>147</v>
      </c>
      <c r="D23" s="16" t="s">
        <v>82</v>
      </c>
      <c r="E23" s="97"/>
      <c r="F23" s="98"/>
      <c r="G23" s="19" t="s">
        <v>161</v>
      </c>
      <c r="H23" s="10" t="str">
        <f>IF(ISBLANK($E23)=TRUE,"",IF($E23=G23,2,0))</f>
        <v/>
      </c>
      <c r="I23" s="19" t="s">
        <v>159</v>
      </c>
      <c r="J23" s="10" t="str">
        <f>IF(ISBLANK($E23)=TRUE,"",IF($E23=I23,2,0))</f>
        <v/>
      </c>
      <c r="K23" s="19" t="s">
        <v>154</v>
      </c>
      <c r="L23" s="10" t="str">
        <f>IF(ISBLANK($E23)=TRUE,"",IF($E23=K23,2,0))</f>
        <v/>
      </c>
      <c r="M23" s="19"/>
      <c r="N23" s="10" t="str">
        <f>IF(ISBLANK($E23)=TRUE,"",IF($E23=M23,2,0))</f>
        <v/>
      </c>
      <c r="O23" s="19" t="s">
        <v>159</v>
      </c>
      <c r="P23" s="10" t="str">
        <f>IF(ISBLANK($E23)=TRUE,"",IF($E23=O23,2,0))</f>
        <v/>
      </c>
      <c r="Q23" s="19"/>
      <c r="R23" s="10" t="str">
        <f>IF(ISBLANK($E23)=TRUE,"",IF($E23=Q23,2,0))</f>
        <v/>
      </c>
    </row>
    <row r="24" spans="2:18" ht="15.75" thickBot="1" x14ac:dyDescent="0.3">
      <c r="B24" s="102" t="s">
        <v>131</v>
      </c>
      <c r="C24" s="103"/>
      <c r="D24" s="104"/>
      <c r="E24" s="102"/>
      <c r="F24" s="104"/>
      <c r="G24" s="34"/>
      <c r="H24" s="35"/>
      <c r="I24" s="44"/>
      <c r="J24" s="46"/>
      <c r="K24" s="42"/>
      <c r="L24" s="43"/>
      <c r="M24" s="53"/>
      <c r="N24" s="54"/>
      <c r="O24" s="50"/>
      <c r="P24" s="51"/>
      <c r="Q24" s="83"/>
      <c r="R24" s="86"/>
    </row>
    <row r="25" spans="2:18" x14ac:dyDescent="0.25">
      <c r="B25" s="37" t="s">
        <v>85</v>
      </c>
      <c r="C25" s="20"/>
      <c r="D25" s="14"/>
      <c r="E25" s="93"/>
      <c r="F25" s="94"/>
      <c r="G25" s="17"/>
      <c r="H25" s="9" t="str">
        <f>IF(ISBLANK($E25)=TRUE,"",IF($E25=G25,5,0))</f>
        <v/>
      </c>
      <c r="I25" s="17"/>
      <c r="J25" s="9" t="str">
        <f>IF(ISBLANK($E25)=TRUE,"",IF($E25=I25,5,0))</f>
        <v/>
      </c>
      <c r="K25" s="17"/>
      <c r="L25" s="9" t="str">
        <f>IF(ISBLANK($E25)=TRUE,"",IF($E25=K25,5,0))</f>
        <v/>
      </c>
      <c r="M25" s="17"/>
      <c r="N25" s="9" t="str">
        <f>IF(ISBLANK($E25)=TRUE,"",IF($E25=M25,5,0))</f>
        <v/>
      </c>
      <c r="O25" s="17"/>
      <c r="P25" s="9" t="str">
        <f>IF(ISBLANK($E25)=TRUE,"",IF($E25=O25,5,0))</f>
        <v/>
      </c>
      <c r="Q25" s="17"/>
      <c r="R25" s="9" t="str">
        <f>IF(ISBLANK($E25)=TRUE,"",IF($E25=Q25,5,0))</f>
        <v/>
      </c>
    </row>
    <row r="26" spans="2:18" x14ac:dyDescent="0.25">
      <c r="B26" s="38" t="s">
        <v>86</v>
      </c>
      <c r="C26" s="21"/>
      <c r="D26" s="15"/>
      <c r="E26" s="95"/>
      <c r="F26" s="96"/>
      <c r="G26" s="18"/>
      <c r="H26" s="9" t="str">
        <f>IF(ISBLANK($E26)=TRUE,"",IF($E26=G26,5,0))</f>
        <v/>
      </c>
      <c r="I26" s="18"/>
      <c r="J26" s="9" t="str">
        <f>IF(ISBLANK($E26)=TRUE,"",IF($E26=I26,5,0))</f>
        <v/>
      </c>
      <c r="K26" s="18"/>
      <c r="L26" s="9" t="str">
        <f>IF(ISBLANK($E26)=TRUE,"",IF($E26=K26,5,0))</f>
        <v/>
      </c>
      <c r="M26" s="18"/>
      <c r="N26" s="9" t="str">
        <f>IF(ISBLANK($E26)=TRUE,"",IF($E26=M26,5,0))</f>
        <v/>
      </c>
      <c r="O26" s="18"/>
      <c r="P26" s="9" t="str">
        <f>IF(ISBLANK($E26)=TRUE,"",IF($E26=O26,5,0))</f>
        <v/>
      </c>
      <c r="Q26" s="18"/>
      <c r="R26" s="9" t="str">
        <f>IF(ISBLANK($E26)=TRUE,"",IF($E26=Q26,5,0))</f>
        <v/>
      </c>
    </row>
    <row r="27" spans="2:18" ht="15.75" thickBot="1" x14ac:dyDescent="0.3">
      <c r="B27" s="38" t="s">
        <v>87</v>
      </c>
      <c r="C27" s="21"/>
      <c r="D27" s="15"/>
      <c r="E27" s="97"/>
      <c r="F27" s="98"/>
      <c r="G27" s="18"/>
      <c r="H27" s="9" t="str">
        <f>IF(ISBLANK($E27)=TRUE,"",IF($E27=G27,5,0))</f>
        <v/>
      </c>
      <c r="I27" s="18"/>
      <c r="J27" s="9" t="str">
        <f>IF(ISBLANK($E27)=TRUE,"",IF($E27=I27,5,0))</f>
        <v/>
      </c>
      <c r="K27" s="18"/>
      <c r="L27" s="9" t="str">
        <f>IF(ISBLANK($E27)=TRUE,"",IF($E27=K27,5,0))</f>
        <v/>
      </c>
      <c r="M27" s="18"/>
      <c r="N27" s="9" t="str">
        <f>IF(ISBLANK($E27)=TRUE,"",IF($E27=M27,5,0))</f>
        <v/>
      </c>
      <c r="O27" s="18"/>
      <c r="P27" s="9" t="str">
        <f>IF(ISBLANK($E27)=TRUE,"",IF($E27=O27,5,0))</f>
        <v/>
      </c>
      <c r="Q27" s="18"/>
      <c r="R27" s="9" t="str">
        <f>IF(ISBLANK($E27)=TRUE,"",IF($E27=Q27,5,0))</f>
        <v/>
      </c>
    </row>
    <row r="28" spans="2:18" ht="15.75" thickBot="1" x14ac:dyDescent="0.3">
      <c r="B28" s="102" t="s">
        <v>132</v>
      </c>
      <c r="C28" s="103"/>
      <c r="D28" s="104"/>
      <c r="E28" s="102"/>
      <c r="F28" s="104"/>
      <c r="G28" s="34"/>
      <c r="H28" s="35"/>
      <c r="I28" s="44"/>
      <c r="J28" s="46"/>
      <c r="K28" s="42"/>
      <c r="L28" s="43"/>
      <c r="M28" s="53"/>
      <c r="N28" s="54"/>
      <c r="O28" s="50"/>
      <c r="P28" s="51"/>
      <c r="Q28" s="87"/>
      <c r="R28" s="86"/>
    </row>
    <row r="29" spans="2:18" x14ac:dyDescent="0.25">
      <c r="B29" s="37" t="s">
        <v>85</v>
      </c>
      <c r="C29" s="20"/>
      <c r="D29" s="14"/>
      <c r="E29" s="93"/>
      <c r="F29" s="94"/>
      <c r="G29" s="17"/>
      <c r="H29" s="11" t="str">
        <f>IF(ISBLANK($E29)=TRUE,"",IF($E29=G29,5,0))</f>
        <v/>
      </c>
      <c r="I29" s="17"/>
      <c r="J29" s="11" t="str">
        <f>IF(ISBLANK($E29)=TRUE,"",IF($E29=I29,5,0))</f>
        <v/>
      </c>
      <c r="K29" s="17"/>
      <c r="L29" s="11" t="str">
        <f>IF(ISBLANK($E29)=TRUE,"",IF($E29=K29,5,0))</f>
        <v/>
      </c>
      <c r="M29" s="17"/>
      <c r="N29" s="11" t="str">
        <f>IF(ISBLANK($E29)=TRUE,"",IF($E29=M29,5,0))</f>
        <v/>
      </c>
      <c r="O29" s="17"/>
      <c r="P29" s="11" t="str">
        <f>IF(ISBLANK($E29)=TRUE,"",IF($E29=O29,5,0))</f>
        <v/>
      </c>
      <c r="Q29" s="17"/>
      <c r="R29" s="11" t="str">
        <f>IF(ISBLANK($E29)=TRUE,"",IF($E29=Q29,5,0))</f>
        <v/>
      </c>
    </row>
    <row r="30" spans="2:18" x14ac:dyDescent="0.25">
      <c r="B30" s="38" t="s">
        <v>86</v>
      </c>
      <c r="C30" s="21"/>
      <c r="D30" s="15"/>
      <c r="E30" s="95"/>
      <c r="F30" s="96"/>
      <c r="G30" s="18"/>
      <c r="H30" s="9" t="str">
        <f>IF(ISBLANK($E30)=TRUE,"",IF($E30=G30,5,0))</f>
        <v/>
      </c>
      <c r="I30" s="18"/>
      <c r="J30" s="9" t="str">
        <f>IF(ISBLANK($E30)=TRUE,"",IF($E30=I30,5,0))</f>
        <v/>
      </c>
      <c r="K30" s="18"/>
      <c r="L30" s="9" t="str">
        <f>IF(ISBLANK($E30)=TRUE,"",IF($E30=K30,5,0))</f>
        <v/>
      </c>
      <c r="M30" s="18"/>
      <c r="N30" s="9" t="str">
        <f>IF(ISBLANK($E30)=TRUE,"",IF($E30=M30,5,0))</f>
        <v/>
      </c>
      <c r="O30" s="18"/>
      <c r="P30" s="9" t="str">
        <f>IF(ISBLANK($E30)=TRUE,"",IF($E30=O30,5,0))</f>
        <v/>
      </c>
      <c r="Q30" s="18"/>
      <c r="R30" s="9" t="str">
        <f>IF(ISBLANK($E30)=TRUE,"",IF($E30=Q30,5,0))</f>
        <v/>
      </c>
    </row>
    <row r="31" spans="2:18" ht="15.75" thickBot="1" x14ac:dyDescent="0.3">
      <c r="B31" s="38" t="s">
        <v>87</v>
      </c>
      <c r="C31" s="21"/>
      <c r="D31" s="15"/>
      <c r="E31" s="97"/>
      <c r="F31" s="98"/>
      <c r="G31" s="18"/>
      <c r="H31" s="9" t="str">
        <f>IF(ISBLANK($E31)=TRUE,"",IF($E31=G31,5,0))</f>
        <v/>
      </c>
      <c r="I31" s="18"/>
      <c r="J31" s="9" t="str">
        <f>IF(ISBLANK($E31)=TRUE,"",IF($E31=I31,5,0))</f>
        <v/>
      </c>
      <c r="K31" s="18"/>
      <c r="L31" s="9" t="str">
        <f>IF(ISBLANK($E31)=TRUE,"",IF($E31=K31,5,0))</f>
        <v/>
      </c>
      <c r="M31" s="18"/>
      <c r="N31" s="9" t="str">
        <f>IF(ISBLANK($E31)=TRUE,"",IF($E31=M31,5,0))</f>
        <v/>
      </c>
      <c r="O31" s="18"/>
      <c r="P31" s="9" t="str">
        <f>IF(ISBLANK($E31)=TRUE,"",IF($E31=O31,5,0))</f>
        <v/>
      </c>
      <c r="Q31" s="18"/>
      <c r="R31" s="9" t="str">
        <f>IF(ISBLANK($E31)=TRUE,"",IF($E31=Q31,5,0))</f>
        <v/>
      </c>
    </row>
    <row r="32" spans="2:18" ht="15.75" thickBot="1" x14ac:dyDescent="0.3">
      <c r="B32" s="102" t="s">
        <v>133</v>
      </c>
      <c r="C32" s="103"/>
      <c r="D32" s="104"/>
      <c r="E32" s="102"/>
      <c r="F32" s="104"/>
      <c r="G32" s="34"/>
      <c r="H32" s="35"/>
      <c r="I32" s="44"/>
      <c r="J32" s="46"/>
      <c r="K32" s="42"/>
      <c r="L32" s="43"/>
      <c r="M32" s="53"/>
      <c r="N32" s="54"/>
      <c r="O32" s="50"/>
      <c r="P32" s="51"/>
      <c r="Q32" s="87"/>
      <c r="R32" s="86"/>
    </row>
    <row r="33" spans="2:18" x14ac:dyDescent="0.25">
      <c r="B33" s="37" t="s">
        <v>85</v>
      </c>
      <c r="C33" s="20"/>
      <c r="D33" s="14"/>
      <c r="E33" s="93"/>
      <c r="F33" s="94"/>
      <c r="G33" s="17"/>
      <c r="H33" s="11" t="str">
        <f>IF(ISBLANK($E33)=TRUE,"",IF($E33=G33,5,0))</f>
        <v/>
      </c>
      <c r="I33" s="17"/>
      <c r="J33" s="11" t="str">
        <f>IF(ISBLANK($E33)=TRUE,"",IF($E33=I33,5,0))</f>
        <v/>
      </c>
      <c r="K33" s="17"/>
      <c r="L33" s="11" t="str">
        <f>IF(ISBLANK($E33)=TRUE,"",IF($E33=K33,5,0))</f>
        <v/>
      </c>
      <c r="M33" s="17"/>
      <c r="N33" s="11" t="str">
        <f>IF(ISBLANK($E33)=TRUE,"",IF($E33=M33,5,0))</f>
        <v/>
      </c>
      <c r="O33" s="17"/>
      <c r="P33" s="11" t="str">
        <f>IF(ISBLANK($E33)=TRUE,"",IF($E33=O33,5,0))</f>
        <v/>
      </c>
      <c r="Q33" s="17"/>
      <c r="R33" s="11" t="str">
        <f>IF(ISBLANK($E33)=TRUE,"",IF($E33=Q33,5,0))</f>
        <v/>
      </c>
    </row>
    <row r="34" spans="2:18" x14ac:dyDescent="0.25">
      <c r="B34" s="38" t="s">
        <v>86</v>
      </c>
      <c r="C34" s="21"/>
      <c r="D34" s="15"/>
      <c r="E34" s="95"/>
      <c r="F34" s="96"/>
      <c r="G34" s="18"/>
      <c r="H34" s="9" t="str">
        <f>IF(ISBLANK($E34)=TRUE,"",IF($E34=G34,5,0))</f>
        <v/>
      </c>
      <c r="I34" s="18"/>
      <c r="J34" s="9" t="str">
        <f>IF(ISBLANK($E34)=TRUE,"",IF($E34=I34,5,0))</f>
        <v/>
      </c>
      <c r="K34" s="18"/>
      <c r="L34" s="9" t="str">
        <f>IF(ISBLANK($E34)=TRUE,"",IF($E34=K34,5,0))</f>
        <v/>
      </c>
      <c r="M34" s="18"/>
      <c r="N34" s="9" t="str">
        <f>IF(ISBLANK($E34)=TRUE,"",IF($E34=M34,5,0))</f>
        <v/>
      </c>
      <c r="O34" s="18"/>
      <c r="P34" s="9" t="str">
        <f>IF(ISBLANK($E34)=TRUE,"",IF($E34=O34,5,0))</f>
        <v/>
      </c>
      <c r="Q34" s="18"/>
      <c r="R34" s="9" t="str">
        <f>IF(ISBLANK($E34)=TRUE,"",IF($E34=Q34,5,0))</f>
        <v/>
      </c>
    </row>
    <row r="35" spans="2:18" ht="15.75" thickBot="1" x14ac:dyDescent="0.3">
      <c r="B35" s="38" t="s">
        <v>87</v>
      </c>
      <c r="C35" s="21"/>
      <c r="D35" s="15"/>
      <c r="E35" s="97"/>
      <c r="F35" s="98"/>
      <c r="G35" s="18"/>
      <c r="H35" s="9" t="str">
        <f>IF(ISBLANK($E35)=TRUE,"",IF($E35=G35,5,0))</f>
        <v/>
      </c>
      <c r="I35" s="18"/>
      <c r="J35" s="9" t="str">
        <f>IF(ISBLANK($E35)=TRUE,"",IF($E35=I35,5,0))</f>
        <v/>
      </c>
      <c r="K35" s="18"/>
      <c r="L35" s="9" t="str">
        <f>IF(ISBLANK($E35)=TRUE,"",IF($E35=K35,5,0))</f>
        <v/>
      </c>
      <c r="M35" s="18"/>
      <c r="N35" s="9" t="str">
        <f>IF(ISBLANK($E35)=TRUE,"",IF($E35=M35,5,0))</f>
        <v/>
      </c>
      <c r="O35" s="18"/>
      <c r="P35" s="9" t="str">
        <f>IF(ISBLANK($E35)=TRUE,"",IF($E35=O35,5,0))</f>
        <v/>
      </c>
      <c r="Q35" s="18"/>
      <c r="R35" s="9" t="str">
        <f>IF(ISBLANK($E35)=TRUE,"",IF($E35=Q35,5,0))</f>
        <v/>
      </c>
    </row>
    <row r="36" spans="2:18" ht="15.75" thickBot="1" x14ac:dyDescent="0.3">
      <c r="B36" s="102" t="s">
        <v>134</v>
      </c>
      <c r="C36" s="103"/>
      <c r="D36" s="104"/>
      <c r="E36" s="102"/>
      <c r="F36" s="104"/>
      <c r="G36" s="34"/>
      <c r="H36" s="35"/>
      <c r="I36" s="44"/>
      <c r="J36" s="46"/>
      <c r="K36" s="42"/>
      <c r="L36" s="43"/>
      <c r="M36" s="53"/>
      <c r="N36" s="54"/>
      <c r="O36" s="50"/>
      <c r="P36" s="51"/>
      <c r="Q36" s="87"/>
      <c r="R36" s="86"/>
    </row>
    <row r="37" spans="2:18" x14ac:dyDescent="0.25">
      <c r="B37" s="37" t="s">
        <v>85</v>
      </c>
      <c r="C37" s="20"/>
      <c r="D37" s="14"/>
      <c r="E37" s="93"/>
      <c r="F37" s="94"/>
      <c r="G37" s="17"/>
      <c r="H37" s="11" t="str">
        <f>IF(ISBLANK($E37)=TRUE,"",IF($E37=G37,5,0))</f>
        <v/>
      </c>
      <c r="I37" s="17"/>
      <c r="J37" s="11" t="str">
        <f>IF(ISBLANK($E37)=TRUE,"",IF($E37=I37,5,0))</f>
        <v/>
      </c>
      <c r="K37" s="17"/>
      <c r="L37" s="11" t="str">
        <f>IF(ISBLANK($E37)=TRUE,"",IF($E37=K37,5,0))</f>
        <v/>
      </c>
      <c r="M37" s="17"/>
      <c r="N37" s="11" t="str">
        <f>IF(ISBLANK($E37)=TRUE,"",IF($E37=M37,5,0))</f>
        <v/>
      </c>
      <c r="O37" s="17"/>
      <c r="P37" s="11" t="str">
        <f>IF(ISBLANK($E37)=TRUE,"",IF($E37=O37,5,0))</f>
        <v/>
      </c>
      <c r="Q37" s="17"/>
      <c r="R37" s="11" t="str">
        <f>IF(ISBLANK($E37)=TRUE,"",IF($E37=Q37,5,0))</f>
        <v/>
      </c>
    </row>
    <row r="38" spans="2:18" x14ac:dyDescent="0.25">
      <c r="B38" s="38" t="s">
        <v>86</v>
      </c>
      <c r="C38" s="21"/>
      <c r="D38" s="15"/>
      <c r="E38" s="95"/>
      <c r="F38" s="96"/>
      <c r="G38" s="18"/>
      <c r="H38" s="9" t="str">
        <f>IF(ISBLANK($E38)=TRUE,"",IF($E38=G38,5,0))</f>
        <v/>
      </c>
      <c r="I38" s="18"/>
      <c r="J38" s="9" t="str">
        <f>IF(ISBLANK($E38)=TRUE,"",IF($E38=I38,5,0))</f>
        <v/>
      </c>
      <c r="K38" s="18"/>
      <c r="L38" s="9" t="str">
        <f>IF(ISBLANK($E38)=TRUE,"",IF($E38=K38,5,0))</f>
        <v/>
      </c>
      <c r="M38" s="18"/>
      <c r="N38" s="9" t="str">
        <f>IF(ISBLANK($E38)=TRUE,"",IF($E38=M38,5,0))</f>
        <v/>
      </c>
      <c r="O38" s="18"/>
      <c r="P38" s="9" t="str">
        <f>IF(ISBLANK($E38)=TRUE,"",IF($E38=O38,5,0))</f>
        <v/>
      </c>
      <c r="Q38" s="18"/>
      <c r="R38" s="9" t="str">
        <f>IF(ISBLANK($E38)=TRUE,"",IF($E38=Q38,5,0))</f>
        <v/>
      </c>
    </row>
    <row r="39" spans="2:18" ht="15.75" thickBot="1" x14ac:dyDescent="0.3">
      <c r="B39" s="38" t="s">
        <v>87</v>
      </c>
      <c r="C39" s="21"/>
      <c r="D39" s="15"/>
      <c r="E39" s="97"/>
      <c r="F39" s="98"/>
      <c r="G39" s="18"/>
      <c r="H39" s="9" t="str">
        <f>IF(ISBLANK($E39)=TRUE,"",IF($E39=G39,5,0))</f>
        <v/>
      </c>
      <c r="I39" s="18"/>
      <c r="J39" s="9" t="str">
        <f>IF(ISBLANK($E39)=TRUE,"",IF($E39=I39,5,0))</f>
        <v/>
      </c>
      <c r="K39" s="18"/>
      <c r="L39" s="9" t="str">
        <f>IF(ISBLANK($E39)=TRUE,"",IF($E39=K39,5,0))</f>
        <v/>
      </c>
      <c r="M39" s="18"/>
      <c r="N39" s="9" t="str">
        <f>IF(ISBLANK($E39)=TRUE,"",IF($E39=M39,5,0))</f>
        <v/>
      </c>
      <c r="O39" s="18"/>
      <c r="P39" s="9" t="str">
        <f>IF(ISBLANK($E39)=TRUE,"",IF($E39=O39,5,0))</f>
        <v/>
      </c>
      <c r="Q39" s="18"/>
      <c r="R39" s="9" t="str">
        <f>IF(ISBLANK($E39)=TRUE,"",IF($E39=Q39,5,0))</f>
        <v/>
      </c>
    </row>
    <row r="40" spans="2:18" ht="15.75" thickBot="1" x14ac:dyDescent="0.3">
      <c r="B40" s="102" t="s">
        <v>135</v>
      </c>
      <c r="C40" s="103"/>
      <c r="D40" s="104"/>
      <c r="E40" s="102"/>
      <c r="F40" s="104"/>
      <c r="G40" s="34"/>
      <c r="H40" s="35"/>
      <c r="I40" s="44"/>
      <c r="J40" s="46"/>
      <c r="K40" s="42"/>
      <c r="L40" s="43"/>
      <c r="M40" s="53"/>
      <c r="N40" s="54"/>
      <c r="O40" s="50"/>
      <c r="P40" s="51"/>
      <c r="Q40" s="87"/>
      <c r="R40" s="86"/>
    </row>
    <row r="41" spans="2:18" x14ac:dyDescent="0.25">
      <c r="B41" s="37" t="s">
        <v>85</v>
      </c>
      <c r="C41" s="20"/>
      <c r="D41" s="14"/>
      <c r="E41" s="93"/>
      <c r="F41" s="94"/>
      <c r="G41" s="17"/>
      <c r="H41" s="11" t="str">
        <f>IF(ISBLANK($E41)=TRUE,"",IF($E41=G41,5,0))</f>
        <v/>
      </c>
      <c r="I41" s="17"/>
      <c r="J41" s="11" t="str">
        <f>IF(ISBLANK($E41)=TRUE,"",IF($E41=I41,5,0))</f>
        <v/>
      </c>
      <c r="K41" s="17"/>
      <c r="L41" s="11" t="str">
        <f>IF(ISBLANK($E41)=TRUE,"",IF($E41=K41,5,0))</f>
        <v/>
      </c>
      <c r="M41" s="17"/>
      <c r="N41" s="11" t="str">
        <f>IF(ISBLANK($E41)=TRUE,"",IF($E41=M41,5,0))</f>
        <v/>
      </c>
      <c r="O41" s="17"/>
      <c r="P41" s="11" t="str">
        <f>IF(ISBLANK($E41)=TRUE,"",IF($E41=O41,5,0))</f>
        <v/>
      </c>
      <c r="Q41" s="17"/>
      <c r="R41" s="11" t="str">
        <f>IF(ISBLANK($E41)=TRUE,"",IF($E41=Q41,5,0))</f>
        <v/>
      </c>
    </row>
    <row r="42" spans="2:18" x14ac:dyDescent="0.25">
      <c r="B42" s="38" t="s">
        <v>86</v>
      </c>
      <c r="C42" s="21"/>
      <c r="D42" s="15"/>
      <c r="E42" s="95"/>
      <c r="F42" s="96"/>
      <c r="G42" s="18"/>
      <c r="H42" s="9" t="str">
        <f>IF(ISBLANK($E42)=TRUE,"",IF($E42=G42,5,0))</f>
        <v/>
      </c>
      <c r="I42" s="18"/>
      <c r="J42" s="9" t="str">
        <f>IF(ISBLANK($E42)=TRUE,"",IF($E42=I42,5,0))</f>
        <v/>
      </c>
      <c r="K42" s="18"/>
      <c r="L42" s="9" t="str">
        <f>IF(ISBLANK($E42)=TRUE,"",IF($E42=K42,5,0))</f>
        <v/>
      </c>
      <c r="M42" s="18"/>
      <c r="N42" s="9" t="str">
        <f>IF(ISBLANK($E42)=TRUE,"",IF($E42=M42,5,0))</f>
        <v/>
      </c>
      <c r="O42" s="18"/>
      <c r="P42" s="9" t="str">
        <f>IF(ISBLANK($E42)=TRUE,"",IF($E42=O42,5,0))</f>
        <v/>
      </c>
      <c r="Q42" s="18"/>
      <c r="R42" s="9" t="str">
        <f>IF(ISBLANK($E42)=TRUE,"",IF($E42=Q42,5,0))</f>
        <v/>
      </c>
    </row>
    <row r="43" spans="2:18" ht="15.75" thickBot="1" x14ac:dyDescent="0.3">
      <c r="B43" s="39" t="s">
        <v>87</v>
      </c>
      <c r="C43" s="22"/>
      <c r="D43" s="16"/>
      <c r="E43" s="97"/>
      <c r="F43" s="98"/>
      <c r="G43" s="19"/>
      <c r="H43" s="10" t="str">
        <f>IF(ISBLANK($E43)=TRUE,"",IF($E43=G43,5,0))</f>
        <v/>
      </c>
      <c r="I43" s="19"/>
      <c r="J43" s="10" t="str">
        <f>IF(ISBLANK($E43)=TRUE,"",IF($E43=I43,5,0))</f>
        <v/>
      </c>
      <c r="K43" s="19"/>
      <c r="L43" s="10" t="str">
        <f>IF(ISBLANK($E43)=TRUE,"",IF($E43=K43,5,0))</f>
        <v/>
      </c>
      <c r="M43" s="19"/>
      <c r="N43" s="10" t="str">
        <f>IF(ISBLANK($E43)=TRUE,"",IF($E43=M43,5,0))</f>
        <v/>
      </c>
      <c r="O43" s="19"/>
      <c r="P43" s="10" t="str">
        <f>IF(ISBLANK($E43)=TRUE,"",IF($E43=O43,5,0))</f>
        <v/>
      </c>
      <c r="Q43" s="19"/>
      <c r="R43" s="10" t="str">
        <f>IF(ISBLANK($E43)=TRUE,"",IF($E43=Q43,5,0))</f>
        <v/>
      </c>
    </row>
    <row r="44" spans="2:18" ht="15.75" thickBot="1" x14ac:dyDescent="0.3">
      <c r="B44" s="102" t="s">
        <v>136</v>
      </c>
      <c r="C44" s="103"/>
      <c r="D44" s="103"/>
      <c r="E44" s="103"/>
      <c r="F44" s="104"/>
      <c r="G44" s="108">
        <f>SUM(H3:H43)</f>
        <v>0</v>
      </c>
      <c r="H44" s="110"/>
      <c r="I44" s="111">
        <f>SUM(J3:J43)</f>
        <v>0</v>
      </c>
      <c r="J44" s="113"/>
      <c r="K44" s="117">
        <f>SUM(L3:L43)</f>
        <v>0</v>
      </c>
      <c r="L44" s="119"/>
      <c r="M44" s="120">
        <f>SUM(N3:N43)</f>
        <v>0</v>
      </c>
      <c r="N44" s="122"/>
      <c r="O44" s="114">
        <f>SUM(P3:P43)</f>
        <v>0</v>
      </c>
      <c r="P44" s="116"/>
      <c r="Q44" s="99">
        <f>SUM(R3:R43)</f>
        <v>0</v>
      </c>
      <c r="R44" s="101"/>
    </row>
  </sheetData>
  <mergeCells count="57">
    <mergeCell ref="E11:F12"/>
    <mergeCell ref="O2:P2"/>
    <mergeCell ref="O44:P44"/>
    <mergeCell ref="I2:J2"/>
    <mergeCell ref="I44:J44"/>
    <mergeCell ref="K2:L2"/>
    <mergeCell ref="K44:L44"/>
    <mergeCell ref="M2:N2"/>
    <mergeCell ref="M44:N44"/>
    <mergeCell ref="E40:F40"/>
    <mergeCell ref="G2:H2"/>
    <mergeCell ref="B2:D2"/>
    <mergeCell ref="B24:D24"/>
    <mergeCell ref="E2:F2"/>
    <mergeCell ref="E3:F3"/>
    <mergeCell ref="E4:F4"/>
    <mergeCell ref="E5:F5"/>
    <mergeCell ref="E6:F6"/>
    <mergeCell ref="E21:F21"/>
    <mergeCell ref="E20:F20"/>
    <mergeCell ref="E19:F19"/>
    <mergeCell ref="E18:F18"/>
    <mergeCell ref="E17:F17"/>
    <mergeCell ref="E16:F16"/>
    <mergeCell ref="E13:F14"/>
    <mergeCell ref="E28:F28"/>
    <mergeCell ref="E24:F24"/>
    <mergeCell ref="B40:D40"/>
    <mergeCell ref="G44:H44"/>
    <mergeCell ref="B28:D28"/>
    <mergeCell ref="B32:D32"/>
    <mergeCell ref="B36:D36"/>
    <mergeCell ref="E29:F29"/>
    <mergeCell ref="E30:F30"/>
    <mergeCell ref="E31:F31"/>
    <mergeCell ref="E33:F33"/>
    <mergeCell ref="E34:F34"/>
    <mergeCell ref="E35:F35"/>
    <mergeCell ref="E37:F37"/>
    <mergeCell ref="E38:F38"/>
    <mergeCell ref="B44:F44"/>
    <mergeCell ref="Q2:R2"/>
    <mergeCell ref="Q44:R44"/>
    <mergeCell ref="E15:F15"/>
    <mergeCell ref="E10:F10"/>
    <mergeCell ref="E7:F7"/>
    <mergeCell ref="E42:F42"/>
    <mergeCell ref="E43:F43"/>
    <mergeCell ref="E27:F27"/>
    <mergeCell ref="E26:F26"/>
    <mergeCell ref="E25:F25"/>
    <mergeCell ref="E39:F39"/>
    <mergeCell ref="E41:F41"/>
    <mergeCell ref="E23:F23"/>
    <mergeCell ref="E22:F22"/>
    <mergeCell ref="E36:F36"/>
    <mergeCell ref="E32:F32"/>
  </mergeCells>
  <phoneticPr fontId="3" type="noConversion"/>
  <conditionalFormatting sqref="H3:H23">
    <cfRule type="containsBlanks" dxfId="59" priority="59">
      <formula>LEN(TRIM(H3))=0</formula>
    </cfRule>
    <cfRule type="cellIs" dxfId="58" priority="60" operator="greaterThan">
      <formula>0.5</formula>
    </cfRule>
  </conditionalFormatting>
  <conditionalFormatting sqref="H25:H27">
    <cfRule type="cellIs" dxfId="57" priority="58" operator="greaterThan">
      <formula>0.5</formula>
    </cfRule>
    <cfRule type="containsBlanks" dxfId="56" priority="57">
      <formula>LEN(TRIM(H25))=0</formula>
    </cfRule>
  </conditionalFormatting>
  <conditionalFormatting sqref="H29:H31">
    <cfRule type="cellIs" dxfId="55" priority="56" operator="greaterThan">
      <formula>0.5</formula>
    </cfRule>
    <cfRule type="containsBlanks" dxfId="54" priority="55">
      <formula>LEN(TRIM(H29))=0</formula>
    </cfRule>
  </conditionalFormatting>
  <conditionalFormatting sqref="H33:H35">
    <cfRule type="containsBlanks" dxfId="53" priority="53">
      <formula>LEN(TRIM(H33))=0</formula>
    </cfRule>
    <cfRule type="cellIs" dxfId="52" priority="54" operator="greaterThan">
      <formula>0.5</formula>
    </cfRule>
  </conditionalFormatting>
  <conditionalFormatting sqref="H37:H39">
    <cfRule type="cellIs" dxfId="51" priority="52" operator="greaterThan">
      <formula>0.5</formula>
    </cfRule>
    <cfRule type="containsBlanks" dxfId="50" priority="51">
      <formula>LEN(TRIM(H37))=0</formula>
    </cfRule>
  </conditionalFormatting>
  <conditionalFormatting sqref="H41:H43">
    <cfRule type="cellIs" dxfId="49" priority="50" operator="greaterThan">
      <formula>0.5</formula>
    </cfRule>
    <cfRule type="containsBlanks" dxfId="48" priority="49">
      <formula>LEN(TRIM(H41))=0</formula>
    </cfRule>
  </conditionalFormatting>
  <conditionalFormatting sqref="J3:J23">
    <cfRule type="cellIs" dxfId="47" priority="48" operator="greaterThan">
      <formula>0.5</formula>
    </cfRule>
    <cfRule type="containsBlanks" dxfId="46" priority="47">
      <formula>LEN(TRIM(J3))=0</formula>
    </cfRule>
  </conditionalFormatting>
  <conditionalFormatting sqref="J25:J27">
    <cfRule type="cellIs" dxfId="45" priority="46" operator="greaterThan">
      <formula>0.5</formula>
    </cfRule>
    <cfRule type="containsBlanks" dxfId="44" priority="45">
      <formula>LEN(TRIM(J25))=0</formula>
    </cfRule>
  </conditionalFormatting>
  <conditionalFormatting sqref="J29:J31">
    <cfRule type="cellIs" dxfId="43" priority="44" operator="greaterThan">
      <formula>0.5</formula>
    </cfRule>
    <cfRule type="containsBlanks" dxfId="42" priority="43">
      <formula>LEN(TRIM(J29))=0</formula>
    </cfRule>
  </conditionalFormatting>
  <conditionalFormatting sqref="J33:J35">
    <cfRule type="cellIs" dxfId="41" priority="42" operator="greaterThan">
      <formula>0.5</formula>
    </cfRule>
    <cfRule type="containsBlanks" dxfId="40" priority="41">
      <formula>LEN(TRIM(J33))=0</formula>
    </cfRule>
  </conditionalFormatting>
  <conditionalFormatting sqref="J37:J39">
    <cfRule type="cellIs" dxfId="39" priority="40" operator="greaterThan">
      <formula>0.5</formula>
    </cfRule>
    <cfRule type="containsBlanks" dxfId="38" priority="39">
      <formula>LEN(TRIM(J37))=0</formula>
    </cfRule>
  </conditionalFormatting>
  <conditionalFormatting sqref="J41:J43">
    <cfRule type="cellIs" dxfId="37" priority="38" operator="greaterThan">
      <formula>0.5</formula>
    </cfRule>
    <cfRule type="containsBlanks" dxfId="36" priority="37">
      <formula>LEN(TRIM(J41))=0</formula>
    </cfRule>
  </conditionalFormatting>
  <conditionalFormatting sqref="L3:L23">
    <cfRule type="cellIs" dxfId="35" priority="36" operator="greaterThan">
      <formula>0.5</formula>
    </cfRule>
    <cfRule type="containsBlanks" dxfId="34" priority="35">
      <formula>LEN(TRIM(L3))=0</formula>
    </cfRule>
  </conditionalFormatting>
  <conditionalFormatting sqref="L25:L27">
    <cfRule type="cellIs" dxfId="33" priority="34" operator="greaterThan">
      <formula>0.5</formula>
    </cfRule>
    <cfRule type="containsBlanks" dxfId="32" priority="33">
      <formula>LEN(TRIM(L25))=0</formula>
    </cfRule>
  </conditionalFormatting>
  <conditionalFormatting sqref="L29:L31">
    <cfRule type="containsBlanks" dxfId="31" priority="31">
      <formula>LEN(TRIM(L29))=0</formula>
    </cfRule>
    <cfRule type="cellIs" dxfId="30" priority="32" operator="greaterThan">
      <formula>0.5</formula>
    </cfRule>
  </conditionalFormatting>
  <conditionalFormatting sqref="L33:L35">
    <cfRule type="cellIs" dxfId="29" priority="30" operator="greaterThan">
      <formula>0.5</formula>
    </cfRule>
    <cfRule type="containsBlanks" dxfId="28" priority="29">
      <formula>LEN(TRIM(L33))=0</formula>
    </cfRule>
  </conditionalFormatting>
  <conditionalFormatting sqref="L37:L39">
    <cfRule type="cellIs" dxfId="27" priority="28" operator="greaterThan">
      <formula>0.5</formula>
    </cfRule>
    <cfRule type="containsBlanks" dxfId="26" priority="27">
      <formula>LEN(TRIM(L37))=0</formula>
    </cfRule>
  </conditionalFormatting>
  <conditionalFormatting sqref="L41:L43">
    <cfRule type="cellIs" dxfId="25" priority="26" operator="greaterThan">
      <formula>0.5</formula>
    </cfRule>
    <cfRule type="containsBlanks" dxfId="24" priority="25">
      <formula>LEN(TRIM(L41))=0</formula>
    </cfRule>
  </conditionalFormatting>
  <conditionalFormatting sqref="N3:N23">
    <cfRule type="cellIs" dxfId="23" priority="24" operator="greaterThan">
      <formula>0.5</formula>
    </cfRule>
    <cfRule type="containsBlanks" dxfId="22" priority="23">
      <formula>LEN(TRIM(N3))=0</formula>
    </cfRule>
  </conditionalFormatting>
  <conditionalFormatting sqref="N25:N27">
    <cfRule type="cellIs" dxfId="21" priority="22" operator="greaterThan">
      <formula>0.5</formula>
    </cfRule>
    <cfRule type="containsBlanks" dxfId="20" priority="21">
      <formula>LEN(TRIM(N25))=0</formula>
    </cfRule>
  </conditionalFormatting>
  <conditionalFormatting sqref="N29:N31">
    <cfRule type="cellIs" dxfId="19" priority="20" operator="greaterThan">
      <formula>0.5</formula>
    </cfRule>
    <cfRule type="containsBlanks" dxfId="18" priority="19">
      <formula>LEN(TRIM(N29))=0</formula>
    </cfRule>
  </conditionalFormatting>
  <conditionalFormatting sqref="N33:N35">
    <cfRule type="cellIs" dxfId="17" priority="18" operator="greaterThan">
      <formula>0.5</formula>
    </cfRule>
    <cfRule type="containsBlanks" dxfId="16" priority="17">
      <formula>LEN(TRIM(N33))=0</formula>
    </cfRule>
  </conditionalFormatting>
  <conditionalFormatting sqref="N37:N39">
    <cfRule type="containsBlanks" dxfId="15" priority="15">
      <formula>LEN(TRIM(N37))=0</formula>
    </cfRule>
    <cfRule type="cellIs" dxfId="14" priority="16" operator="greaterThan">
      <formula>0.5</formula>
    </cfRule>
  </conditionalFormatting>
  <conditionalFormatting sqref="N41:N43">
    <cfRule type="cellIs" dxfId="13" priority="14" operator="greaterThan">
      <formula>0.5</formula>
    </cfRule>
    <cfRule type="containsBlanks" dxfId="12" priority="13">
      <formula>LEN(TRIM(N41))=0</formula>
    </cfRule>
  </conditionalFormatting>
  <conditionalFormatting sqref="P3:P23 R3:R23">
    <cfRule type="cellIs" dxfId="11" priority="12" operator="greaterThan">
      <formula>0.5</formula>
    </cfRule>
    <cfRule type="containsBlanks" dxfId="10" priority="11">
      <formula>LEN(TRIM(P3))=0</formula>
    </cfRule>
  </conditionalFormatting>
  <conditionalFormatting sqref="P25:P27 R25:R27">
    <cfRule type="cellIs" dxfId="9" priority="10" operator="greaterThan">
      <formula>0.5</formula>
    </cfRule>
    <cfRule type="containsBlanks" dxfId="8" priority="9">
      <formula>LEN(TRIM(P25))=0</formula>
    </cfRule>
  </conditionalFormatting>
  <conditionalFormatting sqref="P29:P31 R29:R31">
    <cfRule type="cellIs" dxfId="7" priority="8" operator="greaterThan">
      <formula>0.5</formula>
    </cfRule>
    <cfRule type="containsBlanks" dxfId="6" priority="7">
      <formula>LEN(TRIM(P29))=0</formula>
    </cfRule>
  </conditionalFormatting>
  <conditionalFormatting sqref="P33:P35 R33:R35">
    <cfRule type="cellIs" dxfId="5" priority="6" operator="greaterThan">
      <formula>0.5</formula>
    </cfRule>
    <cfRule type="containsBlanks" dxfId="4" priority="5">
      <formula>LEN(TRIM(P33))=0</formula>
    </cfRule>
  </conditionalFormatting>
  <conditionalFormatting sqref="P37:P39 R37:R39">
    <cfRule type="cellIs" dxfId="3" priority="4" operator="greaterThan">
      <formula>0.5</formula>
    </cfRule>
    <cfRule type="containsBlanks" dxfId="2" priority="3">
      <formula>LEN(TRIM(P37))=0</formula>
    </cfRule>
  </conditionalFormatting>
  <conditionalFormatting sqref="P41:P43 R41:R43">
    <cfRule type="cellIs" dxfId="1" priority="2" operator="greaterThan">
      <formula>0.5</formula>
    </cfRule>
    <cfRule type="containsBlanks" dxfId="0" priority="1">
      <formula>LEN(TRIM(P41))=0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7703-F9D8-497F-8DFC-5E802F9A84A8}">
  <dimension ref="B1:I15"/>
  <sheetViews>
    <sheetView workbookViewId="0">
      <selection activeCell="I6" sqref="I6"/>
    </sheetView>
  </sheetViews>
  <sheetFormatPr defaultColWidth="11.42578125" defaultRowHeight="15" x14ac:dyDescent="0.25"/>
  <cols>
    <col min="1" max="2" width="4" style="47" customWidth="1"/>
    <col min="3" max="3" width="16.42578125" style="47" bestFit="1" customWidth="1"/>
    <col min="4" max="9" width="7.140625" style="47" customWidth="1"/>
    <col min="10" max="16384" width="11.42578125" style="47"/>
  </cols>
  <sheetData>
    <row r="1" spans="2:9" ht="15.75" thickBot="1" x14ac:dyDescent="0.3"/>
    <row r="2" spans="2:9" ht="15.75" thickBot="1" x14ac:dyDescent="0.3">
      <c r="B2" s="91" t="s">
        <v>124</v>
      </c>
      <c r="C2" s="92"/>
      <c r="D2" s="56" t="s">
        <v>6</v>
      </c>
      <c r="E2" s="57" t="s">
        <v>139</v>
      </c>
      <c r="F2" s="58" t="s">
        <v>137</v>
      </c>
      <c r="G2" s="59" t="s">
        <v>140</v>
      </c>
      <c r="H2" s="60" t="s">
        <v>138</v>
      </c>
      <c r="I2" s="88" t="s">
        <v>167</v>
      </c>
    </row>
    <row r="3" spans="2:9" x14ac:dyDescent="0.25">
      <c r="B3" s="93" t="s">
        <v>125</v>
      </c>
      <c r="C3" s="94"/>
      <c r="D3" s="11">
        <f>Gruppespill!J86</f>
        <v>0</v>
      </c>
      <c r="E3" s="11">
        <f>Gruppespill!N86</f>
        <v>0</v>
      </c>
      <c r="F3" s="11">
        <f>Gruppespill!R86</f>
        <v>0</v>
      </c>
      <c r="G3" s="11">
        <f>Gruppespill!V86</f>
        <v>0</v>
      </c>
      <c r="H3" s="11">
        <f>Gruppespill!Z86</f>
        <v>0</v>
      </c>
      <c r="I3" s="11">
        <f>Gruppespill!AD86</f>
        <v>0</v>
      </c>
    </row>
    <row r="4" spans="2:9" x14ac:dyDescent="0.25">
      <c r="B4" s="95" t="s">
        <v>128</v>
      </c>
      <c r="C4" s="96"/>
      <c r="D4" s="9">
        <f>Utslagsrunder!J40</f>
        <v>0</v>
      </c>
      <c r="E4" s="9">
        <f>Utslagsrunder!N40</f>
        <v>0</v>
      </c>
      <c r="F4" s="9">
        <f>Utslagsrunder!R40</f>
        <v>0</v>
      </c>
      <c r="G4" s="9">
        <f>Utslagsrunder!V40</f>
        <v>0</v>
      </c>
      <c r="H4" s="9">
        <f>Utslagsrunder!Z40</f>
        <v>0</v>
      </c>
      <c r="I4" s="9">
        <f>Utslagsrunder!AD40</f>
        <v>0</v>
      </c>
    </row>
    <row r="5" spans="2:9" ht="15.75" thickBot="1" x14ac:dyDescent="0.3">
      <c r="B5" s="97" t="s">
        <v>79</v>
      </c>
      <c r="C5" s="98"/>
      <c r="D5" s="10">
        <f>Krydderspørsmål!G44</f>
        <v>0</v>
      </c>
      <c r="E5" s="10">
        <f>Krydderspørsmål!I44</f>
        <v>0</v>
      </c>
      <c r="F5" s="10">
        <f>Krydderspørsmål!K44</f>
        <v>0</v>
      </c>
      <c r="G5" s="10">
        <f>Krydderspørsmål!M44</f>
        <v>0</v>
      </c>
      <c r="H5" s="10">
        <f>Krydderspørsmål!O44</f>
        <v>0</v>
      </c>
      <c r="I5" s="10">
        <f>Krydderspørsmål!Q44</f>
        <v>0</v>
      </c>
    </row>
    <row r="6" spans="2:9" ht="15.75" thickBot="1" x14ac:dyDescent="0.3">
      <c r="B6" s="91" t="s">
        <v>126</v>
      </c>
      <c r="C6" s="92"/>
      <c r="D6" s="61">
        <f>SUM(D3:D5)</f>
        <v>0</v>
      </c>
      <c r="E6" s="62">
        <f t="shared" ref="E6:H6" si="0">SUM(E3:E5)</f>
        <v>0</v>
      </c>
      <c r="F6" s="63">
        <f t="shared" si="0"/>
        <v>0</v>
      </c>
      <c r="G6" s="64">
        <f t="shared" si="0"/>
        <v>0</v>
      </c>
      <c r="H6" s="65">
        <f t="shared" si="0"/>
        <v>0</v>
      </c>
      <c r="I6" s="89">
        <f t="shared" ref="I6" si="1">SUM(I3:I5)</f>
        <v>0</v>
      </c>
    </row>
    <row r="8" spans="2:9" ht="15.75" thickBot="1" x14ac:dyDescent="0.3">
      <c r="C8" s="90"/>
      <c r="D8" s="90"/>
    </row>
    <row r="9" spans="2:9" ht="15.75" thickBot="1" x14ac:dyDescent="0.3">
      <c r="B9" s="79" t="s">
        <v>166</v>
      </c>
      <c r="C9" s="79" t="s">
        <v>162</v>
      </c>
      <c r="D9" s="79" t="s">
        <v>163</v>
      </c>
    </row>
    <row r="10" spans="2:9" x14ac:dyDescent="0.25">
      <c r="B10" s="80">
        <v>1</v>
      </c>
      <c r="C10" s="15" t="str" cm="1">
        <f t="array" ref="C10:C15">_xlfn.SORTBY(TRANSPOSE(D2:I2),TRANSPOSE(D6:I6),-1)</f>
        <v>Erling</v>
      </c>
      <c r="D10" s="67" cm="1">
        <f t="array" ref="D10:D15">_xlfn.SORTBY(TRANSPOSE(D6:I6),TRANSPOSE(D6:I6),-1)</f>
        <v>0</v>
      </c>
    </row>
    <row r="11" spans="2:9" x14ac:dyDescent="0.25">
      <c r="B11" s="81">
        <v>2</v>
      </c>
      <c r="C11" s="15" t="str">
        <v>Rune</v>
      </c>
      <c r="D11" s="67">
        <v>0</v>
      </c>
    </row>
    <row r="12" spans="2:9" x14ac:dyDescent="0.25">
      <c r="B12" s="81">
        <v>3</v>
      </c>
      <c r="C12" s="15" t="str">
        <v>Håkon</v>
      </c>
      <c r="D12" s="67">
        <v>0</v>
      </c>
    </row>
    <row r="13" spans="2:9" x14ac:dyDescent="0.25">
      <c r="B13" s="81">
        <v>4</v>
      </c>
      <c r="C13" s="15" t="str">
        <v>Geir</v>
      </c>
      <c r="D13" s="67">
        <v>0</v>
      </c>
    </row>
    <row r="14" spans="2:9" x14ac:dyDescent="0.25">
      <c r="B14" s="81">
        <v>5</v>
      </c>
      <c r="C14" s="15" t="str">
        <v>Tore</v>
      </c>
      <c r="D14" s="67">
        <v>0</v>
      </c>
    </row>
    <row r="15" spans="2:9" ht="15.75" thickBot="1" x14ac:dyDescent="0.3">
      <c r="B15" s="82">
        <v>6</v>
      </c>
      <c r="C15" s="16" t="str">
        <v>Tor Arne</v>
      </c>
      <c r="D15" s="68">
        <v>0</v>
      </c>
    </row>
  </sheetData>
  <mergeCells count="6">
    <mergeCell ref="C8:D8"/>
    <mergeCell ref="B2:C2"/>
    <mergeCell ref="B3:C3"/>
    <mergeCell ref="B4:C4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Gruppespill</vt:lpstr>
      <vt:lpstr>Utslagsrunder</vt:lpstr>
      <vt:lpstr>Krydderspørsmål</vt:lpstr>
      <vt:lpstr>Sammenlagt og tabell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Erling Stray</dc:creator>
  <cp:lastModifiedBy>Håkon Moen</cp:lastModifiedBy>
  <dcterms:created xsi:type="dcterms:W3CDTF">2026-06-01T11:09:17Z</dcterms:created>
  <dcterms:modified xsi:type="dcterms:W3CDTF">2026-06-14T00:14:59Z</dcterms:modified>
</cp:coreProperties>
</file>